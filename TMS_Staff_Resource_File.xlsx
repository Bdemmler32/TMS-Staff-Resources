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demmler\Documents\TMS Staff Resources\Working Version\"/>
    </mc:Choice>
  </mc:AlternateContent>
  <xr:revisionPtr revIDLastSave="0" documentId="13_ncr:1_{9A622AD9-96AC-4DE6-879D-36D6E1DB6FDA}" xr6:coauthVersionLast="47" xr6:coauthVersionMax="47" xr10:uidLastSave="{00000000-0000-0000-0000-000000000000}"/>
  <bookViews>
    <workbookView xWindow="-25710" yWindow="-110" windowWidth="25820" windowHeight="15500" tabRatio="943" xr2:uid="{E6363EE6-C1C9-4838-BB78-1A770D1612FC}"/>
  </bookViews>
  <sheets>
    <sheet name="Admin" sheetId="36" r:id="rId1"/>
    <sheet name="Arbuckle, A" sheetId="7" r:id="rId2"/>
    <sheet name="Baker, M" sheetId="8" r:id="rId3"/>
    <sheet name="Bohnert, A" sheetId="9" r:id="rId4"/>
    <sheet name="Carolla, A" sheetId="10" r:id="rId5"/>
    <sheet name="Davis, A" sheetId="38" r:id="rId6"/>
    <sheet name="Demmler, R" sheetId="5" r:id="rId7"/>
    <sheet name="Dunlap, T" sheetId="11" r:id="rId8"/>
    <sheet name="Enright, M" sheetId="12" r:id="rId9"/>
    <sheet name="Geier, C" sheetId="13" r:id="rId10"/>
    <sheet name="Gnacinski, J" sheetId="14" r:id="rId11"/>
    <sheet name="Grady, D" sheetId="15" r:id="rId12"/>
    <sheet name="Gregg, J" sheetId="16" r:id="rId13"/>
    <sheet name="Grzegorczyk, K" sheetId="17" r:id="rId14"/>
    <sheet name="Hammer, C" sheetId="18" r:id="rId15"/>
    <sheet name="Helsel, B" sheetId="19" r:id="rId16"/>
    <sheet name="Hixon, D" sheetId="20" r:id="rId17"/>
    <sheet name="Huffman, S" sheetId="21" r:id="rId18"/>
    <sheet name="Killeen, T" sheetId="22" r:id="rId19"/>
    <sheet name="Madore, C" sheetId="23" r:id="rId20"/>
    <sheet name="Markel, K" sheetId="24" r:id="rId21"/>
    <sheet name="Parsson, K" sheetId="25" r:id="rId22"/>
    <sheet name="Rasel, D" sheetId="26" r:id="rId23"/>
    <sheet name="Scheuring, D" sheetId="29" r:id="rId24"/>
    <sheet name="Schrader, M" sheetId="30" r:id="rId25"/>
    <sheet name="Schultz, J" sheetId="31" r:id="rId26"/>
    <sheet name="Show, J" sheetId="32" r:id="rId27"/>
    <sheet name="Warren, P" sheetId="33" r:id="rId28"/>
    <sheet name="Zappas, K" sheetId="34" r:id="rId29"/>
    <sheet name="Zappas, P" sheetId="35" r:id="rId30"/>
    <sheet name="FormTools" sheetId="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38" l="1"/>
  <c r="O46" i="38"/>
  <c r="L46" i="38"/>
  <c r="I46" i="38"/>
  <c r="U44" i="38" a="1"/>
  <c r="U44" i="38" s="1"/>
  <c r="U45" i="38" s="1"/>
  <c r="R44" i="38" a="1"/>
  <c r="R44" i="38" s="1"/>
  <c r="R45" i="38" s="1"/>
  <c r="O44" i="38" a="1"/>
  <c r="O44" i="38" s="1"/>
  <c r="O45" i="38" s="1"/>
  <c r="L44" i="38" a="1"/>
  <c r="L44" i="38" s="1"/>
  <c r="L45" i="38" s="1"/>
  <c r="I44" i="38" a="1"/>
  <c r="I44" i="38" s="1"/>
  <c r="I45" i="38" s="1"/>
  <c r="F44" i="38" a="1"/>
  <c r="F44" i="38" s="1"/>
  <c r="F45" i="38" s="1"/>
  <c r="C44" i="38" a="1"/>
  <c r="C44" i="38" s="1"/>
  <c r="R31" i="38"/>
  <c r="O31" i="38"/>
  <c r="L31" i="38"/>
  <c r="I31" i="38"/>
  <c r="U29" i="38" a="1"/>
  <c r="U29" i="38" s="1"/>
  <c r="U30" i="38" s="1"/>
  <c r="R29" i="38" a="1"/>
  <c r="R29" i="38" s="1"/>
  <c r="R30" i="38" s="1"/>
  <c r="O29" i="38" a="1"/>
  <c r="O29" i="38" s="1"/>
  <c r="O30" i="38" s="1"/>
  <c r="L29" i="38" a="1"/>
  <c r="L29" i="38" s="1"/>
  <c r="L30" i="38" s="1"/>
  <c r="I29" i="38" a="1"/>
  <c r="I29" i="38" s="1"/>
  <c r="I30" i="38" s="1"/>
  <c r="F29" i="38" a="1"/>
  <c r="F29" i="38" s="1"/>
  <c r="F30" i="38" s="1"/>
  <c r="C29" i="38" a="1"/>
  <c r="C29" i="38" s="1"/>
  <c r="C17" i="38"/>
  <c r="C17" i="7"/>
  <c r="R46" i="35"/>
  <c r="O46" i="35"/>
  <c r="L46" i="35"/>
  <c r="I46" i="35"/>
  <c r="U44" i="35" a="1"/>
  <c r="U44" i="35" s="1"/>
  <c r="U45" i="35" s="1"/>
  <c r="R44" i="35" a="1"/>
  <c r="R44" i="35" s="1"/>
  <c r="R45" i="35" s="1"/>
  <c r="O44" i="35" a="1"/>
  <c r="O44" i="35" s="1"/>
  <c r="O45" i="35" s="1"/>
  <c r="L44" i="35" a="1"/>
  <c r="L44" i="35" s="1"/>
  <c r="L45" i="35" s="1"/>
  <c r="I44" i="35" a="1"/>
  <c r="I44" i="35" s="1"/>
  <c r="I45" i="35" s="1"/>
  <c r="F44" i="35" a="1"/>
  <c r="F44" i="35" s="1"/>
  <c r="F45" i="35" s="1"/>
  <c r="C44" i="35" a="1"/>
  <c r="C44" i="35" s="1"/>
  <c r="R31" i="35"/>
  <c r="O31" i="35"/>
  <c r="L31" i="35"/>
  <c r="I31" i="35"/>
  <c r="U29" i="35" a="1"/>
  <c r="U29" i="35" s="1"/>
  <c r="U30" i="35" s="1"/>
  <c r="R29" i="35" a="1"/>
  <c r="R29" i="35" s="1"/>
  <c r="R30" i="35" s="1"/>
  <c r="O29" i="35" a="1"/>
  <c r="O29" i="35" s="1"/>
  <c r="O30" i="35" s="1"/>
  <c r="L29" i="35" a="1"/>
  <c r="L29" i="35" s="1"/>
  <c r="L30" i="35" s="1"/>
  <c r="I29" i="35" a="1"/>
  <c r="I29" i="35" s="1"/>
  <c r="I30" i="35" s="1"/>
  <c r="F29" i="35" a="1"/>
  <c r="F29" i="35" s="1"/>
  <c r="F30" i="35" s="1"/>
  <c r="C29" i="35" a="1"/>
  <c r="C29" i="35" s="1"/>
  <c r="C17" i="35"/>
  <c r="C33" i="38" l="1"/>
  <c r="C30" i="38"/>
  <c r="C48" i="38"/>
  <c r="C45" i="38"/>
  <c r="C48" i="35"/>
  <c r="C45" i="35"/>
  <c r="C30" i="35"/>
  <c r="C33" i="35"/>
  <c r="C50" i="38" l="1"/>
  <c r="C50" i="35"/>
  <c r="R46" i="34" l="1"/>
  <c r="O46" i="34"/>
  <c r="L46" i="34"/>
  <c r="I46" i="34"/>
  <c r="U44" i="34" a="1"/>
  <c r="U44" i="34" s="1"/>
  <c r="U45" i="34" s="1"/>
  <c r="R44" i="34" a="1"/>
  <c r="R44" i="34" s="1"/>
  <c r="R45" i="34" s="1"/>
  <c r="O44" i="34" a="1"/>
  <c r="O44" i="34" s="1"/>
  <c r="O45" i="34" s="1"/>
  <c r="L44" i="34" a="1"/>
  <c r="L44" i="34" s="1"/>
  <c r="L45" i="34" s="1"/>
  <c r="I44" i="34" a="1"/>
  <c r="I44" i="34" s="1"/>
  <c r="I45" i="34" s="1"/>
  <c r="F44" i="34" a="1"/>
  <c r="F44" i="34" s="1"/>
  <c r="F45" i="34" s="1"/>
  <c r="C44" i="34" a="1"/>
  <c r="C44" i="34" s="1"/>
  <c r="R31" i="34"/>
  <c r="O31" i="34"/>
  <c r="L31" i="34"/>
  <c r="I31" i="34"/>
  <c r="U29" i="34" a="1"/>
  <c r="U29" i="34" s="1"/>
  <c r="U30" i="34" s="1"/>
  <c r="R29" i="34" a="1"/>
  <c r="R29" i="34" s="1"/>
  <c r="R30" i="34" s="1"/>
  <c r="O29" i="34" a="1"/>
  <c r="O29" i="34" s="1"/>
  <c r="O30" i="34" s="1"/>
  <c r="L29" i="34" a="1"/>
  <c r="L29" i="34" s="1"/>
  <c r="L30" i="34" s="1"/>
  <c r="I29" i="34" a="1"/>
  <c r="I29" i="34" s="1"/>
  <c r="I30" i="34" s="1"/>
  <c r="F29" i="34" a="1"/>
  <c r="F29" i="34" s="1"/>
  <c r="F30" i="34" s="1"/>
  <c r="C29" i="34" a="1"/>
  <c r="C29" i="34" s="1"/>
  <c r="C17" i="34"/>
  <c r="R46" i="33"/>
  <c r="O46" i="33"/>
  <c r="L46" i="33"/>
  <c r="I46" i="33"/>
  <c r="U44" i="33" a="1"/>
  <c r="U44" i="33" s="1"/>
  <c r="U45" i="33" s="1"/>
  <c r="R44" i="33" a="1"/>
  <c r="R44" i="33" s="1"/>
  <c r="R45" i="33" s="1"/>
  <c r="O44" i="33" a="1"/>
  <c r="O44" i="33" s="1"/>
  <c r="O45" i="33" s="1"/>
  <c r="L44" i="33" a="1"/>
  <c r="L44" i="33" s="1"/>
  <c r="L45" i="33" s="1"/>
  <c r="I44" i="33" a="1"/>
  <c r="I44" i="33" s="1"/>
  <c r="I45" i="33" s="1"/>
  <c r="F44" i="33" a="1"/>
  <c r="F44" i="33" s="1"/>
  <c r="F45" i="33" s="1"/>
  <c r="C44" i="33" a="1"/>
  <c r="C44" i="33" s="1"/>
  <c r="C45" i="33" s="1"/>
  <c r="R31" i="33"/>
  <c r="O31" i="33"/>
  <c r="L31" i="33"/>
  <c r="I31" i="33"/>
  <c r="U29" i="33" a="1"/>
  <c r="U29" i="33" s="1"/>
  <c r="U30" i="33" s="1"/>
  <c r="R29" i="33" a="1"/>
  <c r="R29" i="33" s="1"/>
  <c r="R30" i="33" s="1"/>
  <c r="O29" i="33" a="1"/>
  <c r="O29" i="33" s="1"/>
  <c r="O30" i="33" s="1"/>
  <c r="L29" i="33" a="1"/>
  <c r="L29" i="33" s="1"/>
  <c r="L30" i="33" s="1"/>
  <c r="I29" i="33" a="1"/>
  <c r="I29" i="33" s="1"/>
  <c r="I30" i="33" s="1"/>
  <c r="F29" i="33" a="1"/>
  <c r="F29" i="33" s="1"/>
  <c r="F30" i="33" s="1"/>
  <c r="C29" i="33" a="1"/>
  <c r="C29" i="33" s="1"/>
  <c r="C17" i="33"/>
  <c r="C48" i="34" l="1"/>
  <c r="C45" i="34"/>
  <c r="C30" i="34"/>
  <c r="C33" i="34"/>
  <c r="C33" i="33"/>
  <c r="C30" i="33"/>
  <c r="C48" i="33"/>
  <c r="R46" i="32"/>
  <c r="O46" i="32"/>
  <c r="L46" i="32"/>
  <c r="I46" i="32"/>
  <c r="U44" i="32" a="1"/>
  <c r="U44" i="32" s="1"/>
  <c r="U45" i="32" s="1"/>
  <c r="R44" i="32" a="1"/>
  <c r="R44" i="32" s="1"/>
  <c r="R45" i="32" s="1"/>
  <c r="O44" i="32" a="1"/>
  <c r="O44" i="32" s="1"/>
  <c r="O45" i="32" s="1"/>
  <c r="L44" i="32" a="1"/>
  <c r="L44" i="32" s="1"/>
  <c r="L45" i="32" s="1"/>
  <c r="I44" i="32" a="1"/>
  <c r="I44" i="32" s="1"/>
  <c r="I45" i="32" s="1"/>
  <c r="F44" i="32" a="1"/>
  <c r="F44" i="32" s="1"/>
  <c r="F45" i="32" s="1"/>
  <c r="C44" i="32" a="1"/>
  <c r="C44" i="32" s="1"/>
  <c r="R31" i="32"/>
  <c r="O31" i="32"/>
  <c r="L31" i="32"/>
  <c r="I31" i="32"/>
  <c r="U29" i="32" a="1"/>
  <c r="U29" i="32" s="1"/>
  <c r="U30" i="32" s="1"/>
  <c r="R29" i="32" a="1"/>
  <c r="R29" i="32" s="1"/>
  <c r="R30" i="32" s="1"/>
  <c r="O29" i="32" a="1"/>
  <c r="O29" i="32" s="1"/>
  <c r="O30" i="32" s="1"/>
  <c r="L29" i="32" a="1"/>
  <c r="L29" i="32" s="1"/>
  <c r="L30" i="32" s="1"/>
  <c r="I29" i="32" a="1"/>
  <c r="I29" i="32" s="1"/>
  <c r="I30" i="32" s="1"/>
  <c r="F29" i="32" a="1"/>
  <c r="F29" i="32" s="1"/>
  <c r="F30" i="32" s="1"/>
  <c r="C29" i="32" a="1"/>
  <c r="C29" i="32" s="1"/>
  <c r="C17" i="32"/>
  <c r="R46" i="31"/>
  <c r="O46" i="31"/>
  <c r="L46" i="31"/>
  <c r="I46" i="31"/>
  <c r="U44" i="31" a="1"/>
  <c r="U44" i="31" s="1"/>
  <c r="U45" i="31" s="1"/>
  <c r="R44" i="31" a="1"/>
  <c r="R44" i="31" s="1"/>
  <c r="R45" i="31" s="1"/>
  <c r="O44" i="31" a="1"/>
  <c r="O44" i="31" s="1"/>
  <c r="O45" i="31" s="1"/>
  <c r="L44" i="31" a="1"/>
  <c r="L44" i="31" s="1"/>
  <c r="L45" i="31" s="1"/>
  <c r="I44" i="31" a="1"/>
  <c r="I44" i="31" s="1"/>
  <c r="I45" i="31" s="1"/>
  <c r="F44" i="31" a="1"/>
  <c r="F44" i="31" s="1"/>
  <c r="F45" i="31" s="1"/>
  <c r="C44" i="31" a="1"/>
  <c r="C44" i="31" s="1"/>
  <c r="R31" i="31"/>
  <c r="O31" i="31"/>
  <c r="L31" i="31"/>
  <c r="I31" i="31"/>
  <c r="U29" i="31" a="1"/>
  <c r="U29" i="31" s="1"/>
  <c r="U30" i="31" s="1"/>
  <c r="R29" i="31" a="1"/>
  <c r="R29" i="31" s="1"/>
  <c r="R30" i="31" s="1"/>
  <c r="O29" i="31" a="1"/>
  <c r="O29" i="31" s="1"/>
  <c r="O30" i="31" s="1"/>
  <c r="L29" i="31" a="1"/>
  <c r="L29" i="31" s="1"/>
  <c r="L30" i="31" s="1"/>
  <c r="I29" i="31" a="1"/>
  <c r="I29" i="31" s="1"/>
  <c r="I30" i="31" s="1"/>
  <c r="F29" i="31" a="1"/>
  <c r="F29" i="31" s="1"/>
  <c r="F30" i="31" s="1"/>
  <c r="C29" i="31" a="1"/>
  <c r="C29" i="31" s="1"/>
  <c r="C17" i="31"/>
  <c r="R46" i="30"/>
  <c r="O46" i="30"/>
  <c r="L46" i="30"/>
  <c r="I46" i="30"/>
  <c r="U44" i="30" a="1"/>
  <c r="U44" i="30" s="1"/>
  <c r="U45" i="30" s="1"/>
  <c r="R44" i="30" a="1"/>
  <c r="R44" i="30" s="1"/>
  <c r="R45" i="30" s="1"/>
  <c r="O44" i="30" a="1"/>
  <c r="O44" i="30" s="1"/>
  <c r="O45" i="30" s="1"/>
  <c r="L44" i="30" a="1"/>
  <c r="L44" i="30" s="1"/>
  <c r="L45" i="30" s="1"/>
  <c r="I44" i="30" a="1"/>
  <c r="I44" i="30" s="1"/>
  <c r="I45" i="30" s="1"/>
  <c r="F44" i="30" a="1"/>
  <c r="F44" i="30" s="1"/>
  <c r="F45" i="30" s="1"/>
  <c r="C44" i="30" a="1"/>
  <c r="C44" i="30" s="1"/>
  <c r="R31" i="30"/>
  <c r="O31" i="30"/>
  <c r="L31" i="30"/>
  <c r="I31" i="30"/>
  <c r="U29" i="30" a="1"/>
  <c r="U29" i="30" s="1"/>
  <c r="U30" i="30" s="1"/>
  <c r="R29" i="30" a="1"/>
  <c r="R29" i="30" s="1"/>
  <c r="R30" i="30" s="1"/>
  <c r="O29" i="30" a="1"/>
  <c r="O29" i="30" s="1"/>
  <c r="O30" i="30" s="1"/>
  <c r="L29" i="30" a="1"/>
  <c r="L29" i="30" s="1"/>
  <c r="L30" i="30" s="1"/>
  <c r="I29" i="30" a="1"/>
  <c r="I29" i="30" s="1"/>
  <c r="I30" i="30" s="1"/>
  <c r="F29" i="30" a="1"/>
  <c r="F29" i="30" s="1"/>
  <c r="F30" i="30" s="1"/>
  <c r="C29" i="30" a="1"/>
  <c r="C29" i="30" s="1"/>
  <c r="C17" i="30"/>
  <c r="R46" i="29"/>
  <c r="O46" i="29"/>
  <c r="L46" i="29"/>
  <c r="I46" i="29"/>
  <c r="U44" i="29" a="1"/>
  <c r="U44" i="29" s="1"/>
  <c r="U45" i="29" s="1"/>
  <c r="R44" i="29" a="1"/>
  <c r="R44" i="29" s="1"/>
  <c r="R45" i="29" s="1"/>
  <c r="O44" i="29" a="1"/>
  <c r="O44" i="29" s="1"/>
  <c r="O45" i="29" s="1"/>
  <c r="L44" i="29" a="1"/>
  <c r="L44" i="29" s="1"/>
  <c r="L45" i="29" s="1"/>
  <c r="I44" i="29" a="1"/>
  <c r="I44" i="29" s="1"/>
  <c r="I45" i="29" s="1"/>
  <c r="F44" i="29" a="1"/>
  <c r="F44" i="29" s="1"/>
  <c r="C44" i="29" a="1"/>
  <c r="C44" i="29" s="1"/>
  <c r="C45" i="29" s="1"/>
  <c r="R31" i="29"/>
  <c r="O31" i="29"/>
  <c r="L31" i="29"/>
  <c r="I31" i="29"/>
  <c r="U29" i="29" a="1"/>
  <c r="U29" i="29" s="1"/>
  <c r="U30" i="29" s="1"/>
  <c r="R29" i="29" a="1"/>
  <c r="R29" i="29" s="1"/>
  <c r="R30" i="29" s="1"/>
  <c r="O29" i="29" a="1"/>
  <c r="O29" i="29" s="1"/>
  <c r="O30" i="29" s="1"/>
  <c r="L29" i="29" a="1"/>
  <c r="L29" i="29" s="1"/>
  <c r="L30" i="29" s="1"/>
  <c r="I29" i="29" a="1"/>
  <c r="I29" i="29" s="1"/>
  <c r="I30" i="29" s="1"/>
  <c r="F29" i="29" a="1"/>
  <c r="F29" i="29" s="1"/>
  <c r="F30" i="29" s="1"/>
  <c r="C29" i="29" a="1"/>
  <c r="C29" i="29" s="1"/>
  <c r="C17" i="29"/>
  <c r="C50" i="34" l="1"/>
  <c r="C50" i="33"/>
  <c r="C33" i="31"/>
  <c r="C30" i="31"/>
  <c r="C30" i="32"/>
  <c r="C33" i="32"/>
  <c r="C48" i="32"/>
  <c r="C45" i="32"/>
  <c r="C48" i="31"/>
  <c r="C45" i="31"/>
  <c r="C45" i="30"/>
  <c r="C48" i="30"/>
  <c r="C30" i="30"/>
  <c r="C33" i="30"/>
  <c r="C48" i="29"/>
  <c r="F45" i="29"/>
  <c r="C30" i="29"/>
  <c r="C33" i="29"/>
  <c r="C50" i="30" l="1"/>
  <c r="C50" i="29"/>
  <c r="C50" i="32"/>
  <c r="C50" i="31"/>
  <c r="R46" i="26"/>
  <c r="O46" i="26"/>
  <c r="L46" i="26"/>
  <c r="I46" i="26"/>
  <c r="U44" i="26" a="1"/>
  <c r="U44" i="26" s="1"/>
  <c r="U45" i="26" s="1"/>
  <c r="R44" i="26" a="1"/>
  <c r="R44" i="26" s="1"/>
  <c r="R45" i="26" s="1"/>
  <c r="O44" i="26" a="1"/>
  <c r="O44" i="26" s="1"/>
  <c r="O45" i="26" s="1"/>
  <c r="L44" i="26" a="1"/>
  <c r="L44" i="26" s="1"/>
  <c r="L45" i="26" s="1"/>
  <c r="I44" i="26" a="1"/>
  <c r="I44" i="26" s="1"/>
  <c r="I45" i="26" s="1"/>
  <c r="F44" i="26" a="1"/>
  <c r="F44" i="26" s="1"/>
  <c r="F45" i="26" s="1"/>
  <c r="C44" i="26" a="1"/>
  <c r="C44" i="26" s="1"/>
  <c r="C45" i="26" s="1"/>
  <c r="R31" i="26"/>
  <c r="O31" i="26"/>
  <c r="L31" i="26"/>
  <c r="I31" i="26"/>
  <c r="U29" i="26" a="1"/>
  <c r="U29" i="26" s="1"/>
  <c r="U30" i="26" s="1"/>
  <c r="R29" i="26" a="1"/>
  <c r="R29" i="26" s="1"/>
  <c r="R30" i="26" s="1"/>
  <c r="O29" i="26" a="1"/>
  <c r="O29" i="26" s="1"/>
  <c r="O30" i="26" s="1"/>
  <c r="L29" i="26" a="1"/>
  <c r="L29" i="26" s="1"/>
  <c r="L30" i="26" s="1"/>
  <c r="I29" i="26" a="1"/>
  <c r="I29" i="26" s="1"/>
  <c r="I30" i="26" s="1"/>
  <c r="F29" i="26" a="1"/>
  <c r="F29" i="26" s="1"/>
  <c r="F30" i="26" s="1"/>
  <c r="C29" i="26" a="1"/>
  <c r="C29" i="26" s="1"/>
  <c r="C17" i="26"/>
  <c r="R46" i="25"/>
  <c r="O46" i="25"/>
  <c r="L46" i="25"/>
  <c r="I46" i="25"/>
  <c r="U44" i="25" a="1"/>
  <c r="U44" i="25" s="1"/>
  <c r="U45" i="25" s="1"/>
  <c r="R44" i="25" a="1"/>
  <c r="R44" i="25" s="1"/>
  <c r="R45" i="25" s="1"/>
  <c r="O44" i="25" a="1"/>
  <c r="O44" i="25" s="1"/>
  <c r="O45" i="25" s="1"/>
  <c r="L44" i="25" a="1"/>
  <c r="L44" i="25" s="1"/>
  <c r="L45" i="25" s="1"/>
  <c r="I44" i="25" a="1"/>
  <c r="I44" i="25" s="1"/>
  <c r="I45" i="25" s="1"/>
  <c r="F44" i="25" a="1"/>
  <c r="F44" i="25" s="1"/>
  <c r="F45" i="25" s="1"/>
  <c r="C44" i="25" a="1"/>
  <c r="C44" i="25" s="1"/>
  <c r="R31" i="25"/>
  <c r="O31" i="25"/>
  <c r="L31" i="25"/>
  <c r="I31" i="25"/>
  <c r="U29" i="25" a="1"/>
  <c r="U29" i="25" s="1"/>
  <c r="U30" i="25" s="1"/>
  <c r="R29" i="25" a="1"/>
  <c r="R29" i="25" s="1"/>
  <c r="R30" i="25" s="1"/>
  <c r="O29" i="25" a="1"/>
  <c r="O29" i="25" s="1"/>
  <c r="O30" i="25" s="1"/>
  <c r="L29" i="25" a="1"/>
  <c r="L29" i="25" s="1"/>
  <c r="L30" i="25" s="1"/>
  <c r="I29" i="25" a="1"/>
  <c r="I29" i="25" s="1"/>
  <c r="I30" i="25" s="1"/>
  <c r="F29" i="25" a="1"/>
  <c r="F29" i="25" s="1"/>
  <c r="F30" i="25" s="1"/>
  <c r="C29" i="25" a="1"/>
  <c r="C29" i="25" s="1"/>
  <c r="C30" i="25" s="1"/>
  <c r="C17" i="25"/>
  <c r="R46" i="24"/>
  <c r="O46" i="24"/>
  <c r="L46" i="24"/>
  <c r="I46" i="24"/>
  <c r="U44" i="24" a="1"/>
  <c r="U44" i="24" s="1"/>
  <c r="U45" i="24" s="1"/>
  <c r="R44" i="24" a="1"/>
  <c r="R44" i="24" s="1"/>
  <c r="R45" i="24" s="1"/>
  <c r="O44" i="24" a="1"/>
  <c r="O44" i="24" s="1"/>
  <c r="O45" i="24" s="1"/>
  <c r="L44" i="24" a="1"/>
  <c r="L44" i="24" s="1"/>
  <c r="L45" i="24" s="1"/>
  <c r="I44" i="24" a="1"/>
  <c r="I44" i="24" s="1"/>
  <c r="I45" i="24" s="1"/>
  <c r="F44" i="24" a="1"/>
  <c r="F44" i="24" s="1"/>
  <c r="F45" i="24" s="1"/>
  <c r="C44" i="24" a="1"/>
  <c r="C44" i="24" s="1"/>
  <c r="R31" i="24"/>
  <c r="O31" i="24"/>
  <c r="L31" i="24"/>
  <c r="I31" i="24"/>
  <c r="U29" i="24" a="1"/>
  <c r="U29" i="24" s="1"/>
  <c r="U30" i="24" s="1"/>
  <c r="R29" i="24" a="1"/>
  <c r="R29" i="24" s="1"/>
  <c r="R30" i="24" s="1"/>
  <c r="O29" i="24" a="1"/>
  <c r="O29" i="24" s="1"/>
  <c r="O30" i="24" s="1"/>
  <c r="L29" i="24" a="1"/>
  <c r="L29" i="24" s="1"/>
  <c r="L30" i="24" s="1"/>
  <c r="I29" i="24" a="1"/>
  <c r="I29" i="24" s="1"/>
  <c r="I30" i="24" s="1"/>
  <c r="F29" i="24" a="1"/>
  <c r="F29" i="24" s="1"/>
  <c r="F30" i="24" s="1"/>
  <c r="C29" i="24" a="1"/>
  <c r="C29" i="24" s="1"/>
  <c r="C17" i="24"/>
  <c r="R46" i="23"/>
  <c r="O46" i="23"/>
  <c r="L46" i="23"/>
  <c r="I46" i="23"/>
  <c r="U44" i="23" a="1"/>
  <c r="U44" i="23" s="1"/>
  <c r="U45" i="23" s="1"/>
  <c r="R44" i="23" a="1"/>
  <c r="R44" i="23" s="1"/>
  <c r="R45" i="23" s="1"/>
  <c r="O44" i="23" a="1"/>
  <c r="O44" i="23" s="1"/>
  <c r="O45" i="23" s="1"/>
  <c r="L44" i="23" a="1"/>
  <c r="L44" i="23" s="1"/>
  <c r="L45" i="23" s="1"/>
  <c r="I44" i="23" a="1"/>
  <c r="I44" i="23" s="1"/>
  <c r="I45" i="23" s="1"/>
  <c r="F44" i="23" a="1"/>
  <c r="F44" i="23" s="1"/>
  <c r="F45" i="23" s="1"/>
  <c r="C44" i="23" a="1"/>
  <c r="C44" i="23" s="1"/>
  <c r="R31" i="23"/>
  <c r="O31" i="23"/>
  <c r="L31" i="23"/>
  <c r="I31" i="23"/>
  <c r="U29" i="23" a="1"/>
  <c r="U29" i="23" s="1"/>
  <c r="U30" i="23" s="1"/>
  <c r="R29" i="23" a="1"/>
  <c r="R29" i="23" s="1"/>
  <c r="R30" i="23" s="1"/>
  <c r="O29" i="23" a="1"/>
  <c r="O29" i="23" s="1"/>
  <c r="O30" i="23" s="1"/>
  <c r="L29" i="23" a="1"/>
  <c r="L29" i="23" s="1"/>
  <c r="L30" i="23" s="1"/>
  <c r="I29" i="23" a="1"/>
  <c r="I29" i="23" s="1"/>
  <c r="I30" i="23" s="1"/>
  <c r="F29" i="23" a="1"/>
  <c r="F29" i="23" s="1"/>
  <c r="F30" i="23" s="1"/>
  <c r="C29" i="23" a="1"/>
  <c r="C29" i="23" s="1"/>
  <c r="C17" i="23"/>
  <c r="R46" i="22"/>
  <c r="O46" i="22"/>
  <c r="L46" i="22"/>
  <c r="I46" i="22"/>
  <c r="U44" i="22" a="1"/>
  <c r="U44" i="22" s="1"/>
  <c r="U45" i="22" s="1"/>
  <c r="R44" i="22" a="1"/>
  <c r="R44" i="22" s="1"/>
  <c r="R45" i="22" s="1"/>
  <c r="O44" i="22" a="1"/>
  <c r="O44" i="22" s="1"/>
  <c r="O45" i="22" s="1"/>
  <c r="L44" i="22" a="1"/>
  <c r="L44" i="22" s="1"/>
  <c r="L45" i="22" s="1"/>
  <c r="I44" i="22" a="1"/>
  <c r="I44" i="22" s="1"/>
  <c r="I45" i="22" s="1"/>
  <c r="F44" i="22" a="1"/>
  <c r="F44" i="22" s="1"/>
  <c r="F45" i="22" s="1"/>
  <c r="C44" i="22" a="1"/>
  <c r="C44" i="22" s="1"/>
  <c r="R31" i="22"/>
  <c r="O31" i="22"/>
  <c r="L31" i="22"/>
  <c r="I31" i="22"/>
  <c r="U29" i="22" a="1"/>
  <c r="U29" i="22" s="1"/>
  <c r="U30" i="22" s="1"/>
  <c r="R29" i="22" a="1"/>
  <c r="R29" i="22" s="1"/>
  <c r="R30" i="22" s="1"/>
  <c r="O29" i="22" a="1"/>
  <c r="O29" i="22" s="1"/>
  <c r="O30" i="22" s="1"/>
  <c r="L29" i="22" a="1"/>
  <c r="L29" i="22" s="1"/>
  <c r="L30" i="22" s="1"/>
  <c r="I29" i="22" a="1"/>
  <c r="I29" i="22" s="1"/>
  <c r="I30" i="22" s="1"/>
  <c r="F29" i="22" a="1"/>
  <c r="F29" i="22" s="1"/>
  <c r="F30" i="22" s="1"/>
  <c r="C29" i="22" a="1"/>
  <c r="C29" i="22" s="1"/>
  <c r="C17" i="22"/>
  <c r="R46" i="21"/>
  <c r="O46" i="21"/>
  <c r="L46" i="21"/>
  <c r="I46" i="21"/>
  <c r="U44" i="21" a="1"/>
  <c r="U44" i="21" s="1"/>
  <c r="U45" i="21" s="1"/>
  <c r="R44" i="21" a="1"/>
  <c r="R44" i="21" s="1"/>
  <c r="R45" i="21" s="1"/>
  <c r="O44" i="21" a="1"/>
  <c r="O44" i="21" s="1"/>
  <c r="O45" i="21" s="1"/>
  <c r="L44" i="21" a="1"/>
  <c r="L44" i="21" s="1"/>
  <c r="L45" i="21" s="1"/>
  <c r="I44" i="21" a="1"/>
  <c r="I44" i="21" s="1"/>
  <c r="I45" i="21" s="1"/>
  <c r="F44" i="21" a="1"/>
  <c r="F44" i="21" s="1"/>
  <c r="F45" i="21" s="1"/>
  <c r="C44" i="21" a="1"/>
  <c r="C44" i="21" s="1"/>
  <c r="R31" i="21"/>
  <c r="O31" i="21"/>
  <c r="L31" i="21"/>
  <c r="I31" i="21"/>
  <c r="U29" i="21" a="1"/>
  <c r="U29" i="21" s="1"/>
  <c r="U30" i="21" s="1"/>
  <c r="R29" i="21" a="1"/>
  <c r="R29" i="21" s="1"/>
  <c r="R30" i="21" s="1"/>
  <c r="O29" i="21" a="1"/>
  <c r="O29" i="21" s="1"/>
  <c r="O30" i="21" s="1"/>
  <c r="L29" i="21" a="1"/>
  <c r="L29" i="21" s="1"/>
  <c r="L30" i="21" s="1"/>
  <c r="I29" i="21" a="1"/>
  <c r="I29" i="21" s="1"/>
  <c r="I30" i="21" s="1"/>
  <c r="F29" i="21" a="1"/>
  <c r="F29" i="21" s="1"/>
  <c r="F30" i="21" s="1"/>
  <c r="C29" i="21" a="1"/>
  <c r="C29" i="21" s="1"/>
  <c r="C17" i="21"/>
  <c r="C48" i="24" l="1"/>
  <c r="C45" i="24"/>
  <c r="C30" i="24"/>
  <c r="C33" i="24"/>
  <c r="C33" i="26"/>
  <c r="C30" i="26"/>
  <c r="C45" i="25"/>
  <c r="C48" i="25"/>
  <c r="C33" i="25"/>
  <c r="C48" i="26"/>
  <c r="C48" i="23"/>
  <c r="C45" i="23"/>
  <c r="C30" i="23"/>
  <c r="C33" i="23"/>
  <c r="C45" i="22"/>
  <c r="C48" i="22"/>
  <c r="C33" i="22"/>
  <c r="C30" i="22"/>
  <c r="C48" i="21"/>
  <c r="C45" i="21"/>
  <c r="C30" i="21"/>
  <c r="C33" i="21"/>
  <c r="C50" i="24" l="1"/>
  <c r="C50" i="23"/>
  <c r="C50" i="22"/>
  <c r="C50" i="25"/>
  <c r="C50" i="26"/>
  <c r="C50" i="21"/>
  <c r="R46" i="20" l="1"/>
  <c r="O46" i="20"/>
  <c r="L46" i="20"/>
  <c r="I46" i="20"/>
  <c r="U44" i="20" a="1"/>
  <c r="U44" i="20" s="1"/>
  <c r="U45" i="20" s="1"/>
  <c r="R44" i="20" a="1"/>
  <c r="R44" i="20" s="1"/>
  <c r="R45" i="20" s="1"/>
  <c r="O44" i="20" a="1"/>
  <c r="O44" i="20" s="1"/>
  <c r="O45" i="20" s="1"/>
  <c r="L44" i="20" a="1"/>
  <c r="L44" i="20" s="1"/>
  <c r="L45" i="20" s="1"/>
  <c r="I44" i="20" a="1"/>
  <c r="I44" i="20" s="1"/>
  <c r="I45" i="20" s="1"/>
  <c r="F44" i="20" a="1"/>
  <c r="F44" i="20" s="1"/>
  <c r="C44" i="20" a="1"/>
  <c r="C44" i="20" s="1"/>
  <c r="C45" i="20" s="1"/>
  <c r="R31" i="20"/>
  <c r="O31" i="20"/>
  <c r="L31" i="20"/>
  <c r="I31" i="20"/>
  <c r="U29" i="20" a="1"/>
  <c r="U29" i="20" s="1"/>
  <c r="U30" i="20" s="1"/>
  <c r="R29" i="20" a="1"/>
  <c r="R29" i="20" s="1"/>
  <c r="R30" i="20" s="1"/>
  <c r="O29" i="20" a="1"/>
  <c r="O29" i="20" s="1"/>
  <c r="O30" i="20" s="1"/>
  <c r="L29" i="20" a="1"/>
  <c r="L29" i="20" s="1"/>
  <c r="L30" i="20" s="1"/>
  <c r="I29" i="20" a="1"/>
  <c r="I29" i="20" s="1"/>
  <c r="I30" i="20" s="1"/>
  <c r="F29" i="20" a="1"/>
  <c r="F29" i="20" s="1"/>
  <c r="F30" i="20" s="1"/>
  <c r="C29" i="20" a="1"/>
  <c r="C29" i="20" s="1"/>
  <c r="C17" i="20"/>
  <c r="R46" i="19"/>
  <c r="O46" i="19"/>
  <c r="L46" i="19"/>
  <c r="I46" i="19"/>
  <c r="U44" i="19" a="1"/>
  <c r="U44" i="19" s="1"/>
  <c r="U45" i="19" s="1"/>
  <c r="R44" i="19" a="1"/>
  <c r="R44" i="19" s="1"/>
  <c r="R45" i="19" s="1"/>
  <c r="O44" i="19" a="1"/>
  <c r="O44" i="19" s="1"/>
  <c r="O45" i="19" s="1"/>
  <c r="L44" i="19" a="1"/>
  <c r="L44" i="19" s="1"/>
  <c r="L45" i="19" s="1"/>
  <c r="I44" i="19" a="1"/>
  <c r="I44" i="19" s="1"/>
  <c r="I45" i="19" s="1"/>
  <c r="F44" i="19" a="1"/>
  <c r="F44" i="19" s="1"/>
  <c r="F45" i="19" s="1"/>
  <c r="C44" i="19" a="1"/>
  <c r="C44" i="19" s="1"/>
  <c r="R31" i="19"/>
  <c r="O31" i="19"/>
  <c r="L31" i="19"/>
  <c r="I31" i="19"/>
  <c r="U29" i="19" a="1"/>
  <c r="U29" i="19" s="1"/>
  <c r="U30" i="19" s="1"/>
  <c r="R29" i="19" a="1"/>
  <c r="R29" i="19" s="1"/>
  <c r="R30" i="19" s="1"/>
  <c r="O29" i="19" a="1"/>
  <c r="O29" i="19" s="1"/>
  <c r="O30" i="19" s="1"/>
  <c r="L29" i="19" a="1"/>
  <c r="L29" i="19" s="1"/>
  <c r="L30" i="19" s="1"/>
  <c r="I29" i="19" a="1"/>
  <c r="I29" i="19" s="1"/>
  <c r="I30" i="19" s="1"/>
  <c r="F29" i="19" a="1"/>
  <c r="F29" i="19" s="1"/>
  <c r="F30" i="19" s="1"/>
  <c r="C29" i="19" a="1"/>
  <c r="C29" i="19" s="1"/>
  <c r="C17" i="19"/>
  <c r="C48" i="20" l="1"/>
  <c r="F45" i="20"/>
  <c r="C30" i="20"/>
  <c r="C33" i="20"/>
  <c r="C30" i="19"/>
  <c r="C33" i="19"/>
  <c r="C48" i="19"/>
  <c r="C45" i="19"/>
  <c r="C50" i="20" l="1"/>
  <c r="C50" i="19"/>
  <c r="R46" i="18" l="1"/>
  <c r="O46" i="18"/>
  <c r="L46" i="18"/>
  <c r="I46" i="18"/>
  <c r="U44" i="18" a="1"/>
  <c r="U44" i="18" s="1"/>
  <c r="U45" i="18" s="1"/>
  <c r="R44" i="18" a="1"/>
  <c r="R44" i="18" s="1"/>
  <c r="R45" i="18" s="1"/>
  <c r="O44" i="18" a="1"/>
  <c r="O44" i="18" s="1"/>
  <c r="O45" i="18" s="1"/>
  <c r="L44" i="18" a="1"/>
  <c r="L44" i="18" s="1"/>
  <c r="L45" i="18" s="1"/>
  <c r="I44" i="18" a="1"/>
  <c r="I44" i="18" s="1"/>
  <c r="I45" i="18" s="1"/>
  <c r="F44" i="18" a="1"/>
  <c r="F44" i="18" s="1"/>
  <c r="F45" i="18" s="1"/>
  <c r="C44" i="18" a="1"/>
  <c r="C44" i="18" s="1"/>
  <c r="R31" i="18"/>
  <c r="O31" i="18"/>
  <c r="L31" i="18"/>
  <c r="I31" i="18"/>
  <c r="U29" i="18" a="1"/>
  <c r="U29" i="18" s="1"/>
  <c r="U30" i="18" s="1"/>
  <c r="R29" i="18" a="1"/>
  <c r="R29" i="18" s="1"/>
  <c r="R30" i="18" s="1"/>
  <c r="O29" i="18" a="1"/>
  <c r="O29" i="18" s="1"/>
  <c r="O30" i="18" s="1"/>
  <c r="L29" i="18" a="1"/>
  <c r="L29" i="18" s="1"/>
  <c r="L30" i="18" s="1"/>
  <c r="I29" i="18" a="1"/>
  <c r="I29" i="18" s="1"/>
  <c r="I30" i="18" s="1"/>
  <c r="F29" i="18" a="1"/>
  <c r="F29" i="18" s="1"/>
  <c r="F30" i="18" s="1"/>
  <c r="C29" i="18" a="1"/>
  <c r="C29" i="18" s="1"/>
  <c r="C30" i="18" s="1"/>
  <c r="C17" i="18"/>
  <c r="R46" i="17"/>
  <c r="O46" i="17"/>
  <c r="L46" i="17"/>
  <c r="I46" i="17"/>
  <c r="U44" i="17" a="1"/>
  <c r="U44" i="17" s="1"/>
  <c r="U45" i="17" s="1"/>
  <c r="R44" i="17" a="1"/>
  <c r="R44" i="17" s="1"/>
  <c r="R45" i="17" s="1"/>
  <c r="O44" i="17" a="1"/>
  <c r="O44" i="17" s="1"/>
  <c r="O45" i="17" s="1"/>
  <c r="L44" i="17" a="1"/>
  <c r="L44" i="17" s="1"/>
  <c r="L45" i="17" s="1"/>
  <c r="I44" i="17" a="1"/>
  <c r="I44" i="17" s="1"/>
  <c r="I45" i="17" s="1"/>
  <c r="F44" i="17" a="1"/>
  <c r="F44" i="17" s="1"/>
  <c r="F45" i="17" s="1"/>
  <c r="C44" i="17" a="1"/>
  <c r="C44" i="17" s="1"/>
  <c r="R31" i="17"/>
  <c r="O31" i="17"/>
  <c r="L31" i="17"/>
  <c r="I31" i="17"/>
  <c r="U29" i="17" a="1"/>
  <c r="U29" i="17" s="1"/>
  <c r="U30" i="17" s="1"/>
  <c r="R29" i="17" a="1"/>
  <c r="R29" i="17" s="1"/>
  <c r="R30" i="17" s="1"/>
  <c r="O29" i="17" a="1"/>
  <c r="O29" i="17" s="1"/>
  <c r="O30" i="17" s="1"/>
  <c r="L29" i="17" a="1"/>
  <c r="L29" i="17" s="1"/>
  <c r="L30" i="17" s="1"/>
  <c r="I29" i="17" a="1"/>
  <c r="I29" i="17" s="1"/>
  <c r="I30" i="17" s="1"/>
  <c r="F29" i="17" a="1"/>
  <c r="F29" i="17" s="1"/>
  <c r="C29" i="17" a="1"/>
  <c r="C29" i="17" s="1"/>
  <c r="C30" i="17" s="1"/>
  <c r="C17" i="17"/>
  <c r="C48" i="18" l="1"/>
  <c r="C45" i="18"/>
  <c r="C33" i="18"/>
  <c r="F30" i="17"/>
  <c r="C33" i="17"/>
  <c r="C48" i="17"/>
  <c r="C45" i="17"/>
  <c r="C50" i="18" l="1"/>
  <c r="C50" i="17"/>
  <c r="R46" i="16" l="1"/>
  <c r="O46" i="16"/>
  <c r="L46" i="16"/>
  <c r="I46" i="16"/>
  <c r="F44" i="16" a="1"/>
  <c r="F44" i="16" s="1"/>
  <c r="F45" i="16" s="1"/>
  <c r="C44" i="16" a="1"/>
  <c r="C44" i="16" s="1"/>
  <c r="R31" i="16"/>
  <c r="O31" i="16"/>
  <c r="L31" i="16"/>
  <c r="I31" i="16"/>
  <c r="U29" i="16" a="1"/>
  <c r="U29" i="16" s="1"/>
  <c r="U30" i="16" s="1"/>
  <c r="R29" i="16" a="1"/>
  <c r="R29" i="16" s="1"/>
  <c r="R30" i="16" s="1"/>
  <c r="O29" i="16" a="1"/>
  <c r="O29" i="16" s="1"/>
  <c r="O30" i="16" s="1"/>
  <c r="L29" i="16" a="1"/>
  <c r="L29" i="16" s="1"/>
  <c r="L30" i="16" s="1"/>
  <c r="I29" i="16" a="1"/>
  <c r="I29" i="16" s="1"/>
  <c r="I30" i="16" s="1"/>
  <c r="F29" i="16" a="1"/>
  <c r="F29" i="16" s="1"/>
  <c r="F30" i="16" s="1"/>
  <c r="C29" i="16" a="1"/>
  <c r="C29" i="16" s="1"/>
  <c r="C17" i="16"/>
  <c r="R46" i="15"/>
  <c r="O46" i="15"/>
  <c r="L46" i="15"/>
  <c r="I46" i="15"/>
  <c r="U44" i="15" a="1"/>
  <c r="U44" i="15" s="1"/>
  <c r="U45" i="15" s="1"/>
  <c r="R44" i="15" a="1"/>
  <c r="R44" i="15" s="1"/>
  <c r="R45" i="15" s="1"/>
  <c r="O44" i="15" a="1"/>
  <c r="O44" i="15" s="1"/>
  <c r="O45" i="15" s="1"/>
  <c r="L44" i="15" a="1"/>
  <c r="L44" i="15" s="1"/>
  <c r="L45" i="15" s="1"/>
  <c r="I44" i="15" a="1"/>
  <c r="I44" i="15" s="1"/>
  <c r="I45" i="15" s="1"/>
  <c r="F44" i="15" a="1"/>
  <c r="F44" i="15" s="1"/>
  <c r="F45" i="15" s="1"/>
  <c r="C44" i="15" a="1"/>
  <c r="C44" i="15" s="1"/>
  <c r="R31" i="15"/>
  <c r="O31" i="15"/>
  <c r="L31" i="15"/>
  <c r="I31" i="15"/>
  <c r="U29" i="15" a="1"/>
  <c r="U29" i="15" s="1"/>
  <c r="U30" i="15" s="1"/>
  <c r="R29" i="15" a="1"/>
  <c r="R29" i="15" s="1"/>
  <c r="R30" i="15" s="1"/>
  <c r="O29" i="15" a="1"/>
  <c r="O29" i="15" s="1"/>
  <c r="O30" i="15" s="1"/>
  <c r="L29" i="15" a="1"/>
  <c r="L29" i="15" s="1"/>
  <c r="L30" i="15" s="1"/>
  <c r="I29" i="15" a="1"/>
  <c r="I29" i="15" s="1"/>
  <c r="I30" i="15" s="1"/>
  <c r="F29" i="15" a="1"/>
  <c r="F29" i="15" s="1"/>
  <c r="F30" i="15" s="1"/>
  <c r="C29" i="15" a="1"/>
  <c r="C29" i="15" s="1"/>
  <c r="C17" i="15"/>
  <c r="U44" i="16" l="1" a="1"/>
  <c r="U44" i="16" s="1"/>
  <c r="U45" i="16" s="1"/>
  <c r="I44" i="16" a="1"/>
  <c r="I44" i="16" s="1"/>
  <c r="I45" i="16" s="1"/>
  <c r="L44" i="16" a="1"/>
  <c r="L44" i="16" s="1"/>
  <c r="L45" i="16" s="1"/>
  <c r="O44" i="16" a="1"/>
  <c r="O44" i="16" s="1"/>
  <c r="O45" i="16" s="1"/>
  <c r="R44" i="16" a="1"/>
  <c r="R44" i="16" s="1"/>
  <c r="R45" i="16" s="1"/>
  <c r="C45" i="16"/>
  <c r="C30" i="16"/>
  <c r="C33" i="16"/>
  <c r="C48" i="15"/>
  <c r="C45" i="15"/>
  <c r="C30" i="15"/>
  <c r="C33" i="15"/>
  <c r="C48" i="16" l="1"/>
  <c r="C50" i="16" s="1"/>
  <c r="C50" i="15"/>
  <c r="R46" i="14" l="1"/>
  <c r="O46" i="14"/>
  <c r="L46" i="14"/>
  <c r="I46" i="14"/>
  <c r="U44" i="14" a="1"/>
  <c r="U44" i="14" s="1"/>
  <c r="U45" i="14" s="1"/>
  <c r="R44" i="14" a="1"/>
  <c r="R44" i="14" s="1"/>
  <c r="R45" i="14" s="1"/>
  <c r="O44" i="14" a="1"/>
  <c r="O44" i="14" s="1"/>
  <c r="O45" i="14" s="1"/>
  <c r="L44" i="14" a="1"/>
  <c r="L44" i="14" s="1"/>
  <c r="L45" i="14" s="1"/>
  <c r="I44" i="14" a="1"/>
  <c r="I44" i="14" s="1"/>
  <c r="I45" i="14" s="1"/>
  <c r="F44" i="14" a="1"/>
  <c r="F44" i="14" s="1"/>
  <c r="F45" i="14" s="1"/>
  <c r="C44" i="14" a="1"/>
  <c r="C44" i="14" s="1"/>
  <c r="R31" i="14"/>
  <c r="O31" i="14"/>
  <c r="L31" i="14"/>
  <c r="I31" i="14"/>
  <c r="U29" i="14" a="1"/>
  <c r="U29" i="14" s="1"/>
  <c r="U30" i="14" s="1"/>
  <c r="R29" i="14" a="1"/>
  <c r="R29" i="14" s="1"/>
  <c r="R30" i="14" s="1"/>
  <c r="O29" i="14" a="1"/>
  <c r="O29" i="14" s="1"/>
  <c r="O30" i="14" s="1"/>
  <c r="L29" i="14" a="1"/>
  <c r="L29" i="14" s="1"/>
  <c r="L30" i="14" s="1"/>
  <c r="I29" i="14" a="1"/>
  <c r="I29" i="14" s="1"/>
  <c r="I30" i="14" s="1"/>
  <c r="F29" i="14" a="1"/>
  <c r="F29" i="14" s="1"/>
  <c r="F30" i="14" s="1"/>
  <c r="C29" i="14" a="1"/>
  <c r="C29" i="14" s="1"/>
  <c r="C17" i="14"/>
  <c r="C48" i="14" l="1"/>
  <c r="C45" i="14"/>
  <c r="C30" i="14"/>
  <c r="C33" i="14"/>
  <c r="C50" i="14" l="1"/>
  <c r="R46" i="13"/>
  <c r="O46" i="13"/>
  <c r="L46" i="13"/>
  <c r="I46" i="13"/>
  <c r="U44" i="13" a="1"/>
  <c r="U44" i="13" s="1"/>
  <c r="U45" i="13" s="1"/>
  <c r="R44" i="13" a="1"/>
  <c r="R44" i="13" s="1"/>
  <c r="R45" i="13" s="1"/>
  <c r="O44" i="13" a="1"/>
  <c r="O44" i="13" s="1"/>
  <c r="O45" i="13" s="1"/>
  <c r="L44" i="13" a="1"/>
  <c r="L44" i="13" s="1"/>
  <c r="L45" i="13" s="1"/>
  <c r="I44" i="13" a="1"/>
  <c r="I44" i="13" s="1"/>
  <c r="I45" i="13" s="1"/>
  <c r="F44" i="13" a="1"/>
  <c r="F44" i="13" s="1"/>
  <c r="F45" i="13" s="1"/>
  <c r="C44" i="13" a="1"/>
  <c r="C44" i="13" s="1"/>
  <c r="R31" i="13"/>
  <c r="O31" i="13"/>
  <c r="L31" i="13"/>
  <c r="I31" i="13"/>
  <c r="U29" i="13" a="1"/>
  <c r="U29" i="13" s="1"/>
  <c r="U30" i="13" s="1"/>
  <c r="R29" i="13" a="1"/>
  <c r="R29" i="13" s="1"/>
  <c r="R30" i="13" s="1"/>
  <c r="O29" i="13" a="1"/>
  <c r="O29" i="13" s="1"/>
  <c r="O30" i="13" s="1"/>
  <c r="L29" i="13" a="1"/>
  <c r="L29" i="13" s="1"/>
  <c r="L30" i="13" s="1"/>
  <c r="I29" i="13" a="1"/>
  <c r="I29" i="13" s="1"/>
  <c r="I30" i="13" s="1"/>
  <c r="F29" i="13" a="1"/>
  <c r="F29" i="13" s="1"/>
  <c r="F30" i="13" s="1"/>
  <c r="C29" i="13" a="1"/>
  <c r="C29" i="13" s="1"/>
  <c r="C30" i="13" s="1"/>
  <c r="C17" i="13"/>
  <c r="R46" i="12"/>
  <c r="O46" i="12"/>
  <c r="L46" i="12"/>
  <c r="I46" i="12"/>
  <c r="U44" i="12" a="1"/>
  <c r="U44" i="12" s="1"/>
  <c r="U45" i="12" s="1"/>
  <c r="R44" i="12" a="1"/>
  <c r="R44" i="12" s="1"/>
  <c r="R45" i="12" s="1"/>
  <c r="O44" i="12" a="1"/>
  <c r="O44" i="12" s="1"/>
  <c r="O45" i="12" s="1"/>
  <c r="L44" i="12" a="1"/>
  <c r="L44" i="12" s="1"/>
  <c r="L45" i="12" s="1"/>
  <c r="I44" i="12" a="1"/>
  <c r="I44" i="12" s="1"/>
  <c r="I45" i="12" s="1"/>
  <c r="F44" i="12" a="1"/>
  <c r="F44" i="12" s="1"/>
  <c r="F45" i="12" s="1"/>
  <c r="C44" i="12" a="1"/>
  <c r="C44" i="12" s="1"/>
  <c r="C45" i="12" s="1"/>
  <c r="R31" i="12"/>
  <c r="O31" i="12"/>
  <c r="L31" i="12"/>
  <c r="I31" i="12"/>
  <c r="U29" i="12" a="1"/>
  <c r="U29" i="12" s="1"/>
  <c r="U30" i="12" s="1"/>
  <c r="R29" i="12" a="1"/>
  <c r="R29" i="12" s="1"/>
  <c r="R30" i="12" s="1"/>
  <c r="O29" i="12" a="1"/>
  <c r="O29" i="12" s="1"/>
  <c r="O30" i="12" s="1"/>
  <c r="L29" i="12" a="1"/>
  <c r="L29" i="12" s="1"/>
  <c r="L30" i="12" s="1"/>
  <c r="I29" i="12" a="1"/>
  <c r="I29" i="12" s="1"/>
  <c r="I30" i="12" s="1"/>
  <c r="F29" i="12" a="1"/>
  <c r="F29" i="12" s="1"/>
  <c r="F30" i="12" s="1"/>
  <c r="C29" i="12" a="1"/>
  <c r="C29" i="12" s="1"/>
  <c r="C17" i="12"/>
  <c r="R46" i="11"/>
  <c r="O46" i="11"/>
  <c r="L46" i="11"/>
  <c r="I46" i="11"/>
  <c r="U44" i="11" a="1"/>
  <c r="U44" i="11" s="1"/>
  <c r="U45" i="11" s="1"/>
  <c r="R44" i="11" a="1"/>
  <c r="R44" i="11" s="1"/>
  <c r="R45" i="11" s="1"/>
  <c r="O44" i="11" a="1"/>
  <c r="O44" i="11" s="1"/>
  <c r="O45" i="11" s="1"/>
  <c r="L44" i="11" a="1"/>
  <c r="L44" i="11" s="1"/>
  <c r="L45" i="11" s="1"/>
  <c r="I44" i="11" a="1"/>
  <c r="I44" i="11" s="1"/>
  <c r="I45" i="11" s="1"/>
  <c r="F44" i="11" a="1"/>
  <c r="F44" i="11" s="1"/>
  <c r="F45" i="11" s="1"/>
  <c r="C44" i="11" a="1"/>
  <c r="C44" i="11" s="1"/>
  <c r="R31" i="11"/>
  <c r="O31" i="11"/>
  <c r="L31" i="11"/>
  <c r="I31" i="11"/>
  <c r="U29" i="11" a="1"/>
  <c r="U29" i="11" s="1"/>
  <c r="U30" i="11" s="1"/>
  <c r="R29" i="11" a="1"/>
  <c r="R29" i="11" s="1"/>
  <c r="R30" i="11" s="1"/>
  <c r="O29" i="11" a="1"/>
  <c r="O29" i="11" s="1"/>
  <c r="O30" i="11" s="1"/>
  <c r="L29" i="11" a="1"/>
  <c r="L29" i="11" s="1"/>
  <c r="L30" i="11" s="1"/>
  <c r="I29" i="11" a="1"/>
  <c r="I29" i="11" s="1"/>
  <c r="I30" i="11" s="1"/>
  <c r="F29" i="11" a="1"/>
  <c r="F29" i="11" s="1"/>
  <c r="F30" i="11" s="1"/>
  <c r="C29" i="11" a="1"/>
  <c r="C29" i="11" s="1"/>
  <c r="C17" i="11"/>
  <c r="C33" i="12" l="1"/>
  <c r="C30" i="12"/>
  <c r="C48" i="13"/>
  <c r="C45" i="13"/>
  <c r="C33" i="13"/>
  <c r="C48" i="12"/>
  <c r="C48" i="11"/>
  <c r="C45" i="11"/>
  <c r="C30" i="11"/>
  <c r="C33" i="11"/>
  <c r="C50" i="13" l="1"/>
  <c r="C50" i="12"/>
  <c r="C50" i="11"/>
  <c r="C17" i="8" l="1"/>
  <c r="C17" i="9"/>
  <c r="C17" i="10"/>
  <c r="R46" i="10" l="1"/>
  <c r="O46" i="10"/>
  <c r="L46" i="10"/>
  <c r="I46" i="10"/>
  <c r="U44" i="10" a="1"/>
  <c r="U44" i="10" s="1"/>
  <c r="U45" i="10" s="1"/>
  <c r="R44" i="10" a="1"/>
  <c r="R44" i="10" s="1"/>
  <c r="R45" i="10" s="1"/>
  <c r="O44" i="10" a="1"/>
  <c r="O44" i="10" s="1"/>
  <c r="O45" i="10" s="1"/>
  <c r="L44" i="10" a="1"/>
  <c r="L44" i="10" s="1"/>
  <c r="L45" i="10" s="1"/>
  <c r="I44" i="10" a="1"/>
  <c r="I44" i="10" s="1"/>
  <c r="I45" i="10" s="1"/>
  <c r="F44" i="10" a="1"/>
  <c r="F44" i="10" s="1"/>
  <c r="F45" i="10" s="1"/>
  <c r="C44" i="10" a="1"/>
  <c r="C44" i="10" s="1"/>
  <c r="R31" i="10"/>
  <c r="O31" i="10"/>
  <c r="L31" i="10"/>
  <c r="I31" i="10"/>
  <c r="U29" i="10" a="1"/>
  <c r="U29" i="10" s="1"/>
  <c r="U30" i="10" s="1"/>
  <c r="R29" i="10" a="1"/>
  <c r="R29" i="10" s="1"/>
  <c r="R30" i="10" s="1"/>
  <c r="O29" i="10" a="1"/>
  <c r="O29" i="10" s="1"/>
  <c r="O30" i="10" s="1"/>
  <c r="L29" i="10" a="1"/>
  <c r="L29" i="10" s="1"/>
  <c r="L30" i="10" s="1"/>
  <c r="I29" i="10" a="1"/>
  <c r="I29" i="10" s="1"/>
  <c r="I30" i="10" s="1"/>
  <c r="F29" i="10" a="1"/>
  <c r="F29" i="10" s="1"/>
  <c r="F30" i="10" s="1"/>
  <c r="C29" i="10" a="1"/>
  <c r="C29" i="10" s="1"/>
  <c r="C48" i="10" l="1"/>
  <c r="C45" i="10"/>
  <c r="C30" i="10"/>
  <c r="C33" i="10"/>
  <c r="C50" i="10" l="1"/>
  <c r="R46" i="9"/>
  <c r="O46" i="9"/>
  <c r="L46" i="9"/>
  <c r="I46" i="9"/>
  <c r="U44" i="9" a="1"/>
  <c r="U44" i="9" s="1"/>
  <c r="U45" i="9" s="1"/>
  <c r="R44" i="9" a="1"/>
  <c r="R44" i="9" s="1"/>
  <c r="R45" i="9" s="1"/>
  <c r="O44" i="9" a="1"/>
  <c r="O44" i="9" s="1"/>
  <c r="O45" i="9" s="1"/>
  <c r="L44" i="9" a="1"/>
  <c r="L44" i="9" s="1"/>
  <c r="L45" i="9" s="1"/>
  <c r="I44" i="9" a="1"/>
  <c r="I44" i="9" s="1"/>
  <c r="I45" i="9" s="1"/>
  <c r="F44" i="9" a="1"/>
  <c r="F44" i="9" s="1"/>
  <c r="F45" i="9" s="1"/>
  <c r="C44" i="9" a="1"/>
  <c r="C44" i="9" s="1"/>
  <c r="R31" i="9"/>
  <c r="O31" i="9"/>
  <c r="L31" i="9"/>
  <c r="I31" i="9"/>
  <c r="U29" i="9" a="1"/>
  <c r="U29" i="9" s="1"/>
  <c r="U30" i="9" s="1"/>
  <c r="R29" i="9" a="1"/>
  <c r="R29" i="9" s="1"/>
  <c r="R30" i="9" s="1"/>
  <c r="O29" i="9" a="1"/>
  <c r="O29" i="9" s="1"/>
  <c r="O30" i="9" s="1"/>
  <c r="L29" i="9" a="1"/>
  <c r="L29" i="9" s="1"/>
  <c r="L30" i="9" s="1"/>
  <c r="I29" i="9" a="1"/>
  <c r="I29" i="9" s="1"/>
  <c r="I30" i="9" s="1"/>
  <c r="F29" i="9" a="1"/>
  <c r="F29" i="9" s="1"/>
  <c r="F30" i="9" s="1"/>
  <c r="C29" i="9" a="1"/>
  <c r="C29" i="9" s="1"/>
  <c r="R46" i="8"/>
  <c r="O46" i="8"/>
  <c r="L46" i="8"/>
  <c r="I46" i="8"/>
  <c r="U44" i="8" a="1"/>
  <c r="U44" i="8" s="1"/>
  <c r="U45" i="8" s="1"/>
  <c r="R44" i="8" a="1"/>
  <c r="R44" i="8" s="1"/>
  <c r="R45" i="8" s="1"/>
  <c r="O44" i="8" a="1"/>
  <c r="O44" i="8" s="1"/>
  <c r="O45" i="8" s="1"/>
  <c r="L44" i="8" a="1"/>
  <c r="L44" i="8" s="1"/>
  <c r="L45" i="8" s="1"/>
  <c r="I44" i="8" a="1"/>
  <c r="I44" i="8" s="1"/>
  <c r="I45" i="8" s="1"/>
  <c r="F44" i="8" a="1"/>
  <c r="F44" i="8" s="1"/>
  <c r="F45" i="8" s="1"/>
  <c r="C44" i="8" a="1"/>
  <c r="C44" i="8" s="1"/>
  <c r="R31" i="8"/>
  <c r="O31" i="8"/>
  <c r="L31" i="8"/>
  <c r="I31" i="8"/>
  <c r="U29" i="8" a="1"/>
  <c r="U29" i="8" s="1"/>
  <c r="U30" i="8" s="1"/>
  <c r="R29" i="8" a="1"/>
  <c r="R29" i="8" s="1"/>
  <c r="R30" i="8" s="1"/>
  <c r="O29" i="8" a="1"/>
  <c r="O29" i="8" s="1"/>
  <c r="O30" i="8" s="1"/>
  <c r="L29" i="8" a="1"/>
  <c r="L29" i="8" s="1"/>
  <c r="L30" i="8" s="1"/>
  <c r="I29" i="8" a="1"/>
  <c r="I29" i="8" s="1"/>
  <c r="I30" i="8" s="1"/>
  <c r="F29" i="8" a="1"/>
  <c r="F29" i="8" s="1"/>
  <c r="F30" i="8" s="1"/>
  <c r="C29" i="8" a="1"/>
  <c r="C29" i="8" s="1"/>
  <c r="C48" i="9" l="1"/>
  <c r="C45" i="9"/>
  <c r="C30" i="9"/>
  <c r="C33" i="9"/>
  <c r="C48" i="8"/>
  <c r="C45" i="8"/>
  <c r="C33" i="8"/>
  <c r="C30" i="8"/>
  <c r="C50" i="9" l="1"/>
  <c r="C50" i="8"/>
  <c r="C17" i="5" l="1"/>
  <c r="R46" i="7"/>
  <c r="O46" i="7"/>
  <c r="L46" i="7"/>
  <c r="I46" i="7"/>
  <c r="U44" i="7" a="1"/>
  <c r="U44" i="7" s="1"/>
  <c r="U45" i="7" s="1"/>
  <c r="R44" i="7" a="1"/>
  <c r="R44" i="7" s="1"/>
  <c r="R45" i="7" s="1"/>
  <c r="O44" i="7" a="1"/>
  <c r="O44" i="7" s="1"/>
  <c r="O45" i="7" s="1"/>
  <c r="L44" i="7" a="1"/>
  <c r="L44" i="7" s="1"/>
  <c r="L45" i="7" s="1"/>
  <c r="I44" i="7" a="1"/>
  <c r="I44" i="7" s="1"/>
  <c r="I45" i="7" s="1"/>
  <c r="F44" i="7" a="1"/>
  <c r="F44" i="7" s="1"/>
  <c r="F45" i="7" s="1"/>
  <c r="C44" i="7" a="1"/>
  <c r="C44" i="7" s="1"/>
  <c r="R31" i="7"/>
  <c r="O31" i="7"/>
  <c r="L31" i="7"/>
  <c r="I31" i="7"/>
  <c r="U29" i="7" a="1"/>
  <c r="U29" i="7" s="1"/>
  <c r="U30" i="7" s="1"/>
  <c r="R29" i="7" a="1"/>
  <c r="R29" i="7" s="1"/>
  <c r="R30" i="7" s="1"/>
  <c r="O29" i="7" a="1"/>
  <c r="O29" i="7" s="1"/>
  <c r="O30" i="7" s="1"/>
  <c r="L29" i="7" a="1"/>
  <c r="L29" i="7" s="1"/>
  <c r="L30" i="7" s="1"/>
  <c r="I29" i="7" a="1"/>
  <c r="I29" i="7" s="1"/>
  <c r="I30" i="7" s="1"/>
  <c r="F29" i="7" a="1"/>
  <c r="F29" i="7" s="1"/>
  <c r="F30" i="7" s="1"/>
  <c r="C29" i="7" a="1"/>
  <c r="C29" i="7" s="1"/>
  <c r="C30" i="7" l="1"/>
  <c r="C33" i="7"/>
  <c r="C48" i="7"/>
  <c r="C45" i="7"/>
  <c r="C50" i="7" l="1"/>
  <c r="R46" i="5" l="1"/>
  <c r="O46" i="5"/>
  <c r="L46" i="5"/>
  <c r="I46" i="5"/>
  <c r="U44" i="5" a="1"/>
  <c r="U44" i="5" s="1"/>
  <c r="U45" i="5" s="1"/>
  <c r="R44" i="5" a="1"/>
  <c r="R44" i="5" s="1"/>
  <c r="R45" i="5" s="1"/>
  <c r="O44" i="5" a="1"/>
  <c r="O44" i="5" s="1"/>
  <c r="O45" i="5" s="1"/>
  <c r="L44" i="5" a="1"/>
  <c r="L44" i="5" s="1"/>
  <c r="L45" i="5" s="1"/>
  <c r="I44" i="5" a="1"/>
  <c r="I44" i="5" s="1"/>
  <c r="I45" i="5" s="1"/>
  <c r="F44" i="5" a="1"/>
  <c r="F44" i="5" s="1"/>
  <c r="F45" i="5" s="1"/>
  <c r="C44" i="5" a="1"/>
  <c r="C44" i="5" s="1"/>
  <c r="R31" i="5"/>
  <c r="O31" i="5"/>
  <c r="L31" i="5"/>
  <c r="I31" i="5"/>
  <c r="U29" i="5" a="1"/>
  <c r="U29" i="5" s="1"/>
  <c r="U30" i="5" s="1"/>
  <c r="R29" i="5" a="1"/>
  <c r="R29" i="5" s="1"/>
  <c r="R30" i="5" s="1"/>
  <c r="O29" i="5" a="1"/>
  <c r="O29" i="5" s="1"/>
  <c r="O30" i="5" s="1"/>
  <c r="L29" i="5" a="1"/>
  <c r="L29" i="5" s="1"/>
  <c r="L30" i="5" s="1"/>
  <c r="I29" i="5" a="1"/>
  <c r="I29" i="5" s="1"/>
  <c r="I30" i="5" s="1"/>
  <c r="F29" i="5" a="1"/>
  <c r="F29" i="5" s="1"/>
  <c r="F30" i="5" s="1"/>
  <c r="C29" i="5" a="1"/>
  <c r="C29" i="5" s="1"/>
  <c r="C48" i="5" l="1"/>
  <c r="C45" i="5"/>
  <c r="C30" i="5"/>
  <c r="C33" i="5"/>
  <c r="C50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<sst xmlns="http://schemas.openxmlformats.org/spreadsheetml/2006/main" count="3700" uniqueCount="347">
  <si>
    <t>Monday</t>
  </si>
  <si>
    <t>Tuesday</t>
  </si>
  <si>
    <t>Wednesday</t>
  </si>
  <si>
    <t>Thursday</t>
  </si>
  <si>
    <t>Friday</t>
  </si>
  <si>
    <t>Saturday</t>
  </si>
  <si>
    <t>Sunday</t>
  </si>
  <si>
    <t>Start</t>
  </si>
  <si>
    <t>End</t>
  </si>
  <si>
    <t>Work Block 1</t>
  </si>
  <si>
    <t>Location</t>
  </si>
  <si>
    <t>Remote</t>
  </si>
  <si>
    <t>Total HRS/Day</t>
  </si>
  <si>
    <t>WEEK 2</t>
  </si>
  <si>
    <t>Work Block 2</t>
  </si>
  <si>
    <t>Work Block 3</t>
  </si>
  <si>
    <t>Work Block 4</t>
  </si>
  <si>
    <t>Work Block 5</t>
  </si>
  <si>
    <t>Instructions:</t>
  </si>
  <si>
    <t>Total HRS/Day &lt;=10?</t>
  </si>
  <si>
    <r>
      <t xml:space="preserve">WEEK 1 </t>
    </r>
    <r>
      <rPr>
        <i/>
        <sz val="16"/>
        <color theme="0"/>
        <rFont val="Aptos Narrow"/>
        <family val="2"/>
        <scheme val="minor"/>
      </rPr>
      <t>(Pay Week)</t>
    </r>
  </si>
  <si>
    <t>Core Hours = 7 of 10?</t>
  </si>
  <si>
    <t>N/A</t>
  </si>
  <si>
    <t>Office</t>
  </si>
  <si>
    <t>Total Hours (Week 2)</t>
  </si>
  <si>
    <t>Total Hours (Week 1)</t>
  </si>
  <si>
    <t>Pay Period = 75 Hours</t>
  </si>
  <si>
    <t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t>
  </si>
  <si>
    <t>Last Updated:</t>
  </si>
  <si>
    <t>Title:</t>
  </si>
  <si>
    <t>First Name:</t>
  </si>
  <si>
    <t>Last Name:</t>
  </si>
  <si>
    <t>Arbuckle</t>
  </si>
  <si>
    <t>Controller and Department Head, Finance</t>
  </si>
  <si>
    <t>Alicia</t>
  </si>
  <si>
    <t>Work Schedule</t>
  </si>
  <si>
    <t>Departments:</t>
  </si>
  <si>
    <t>id</t>
  </si>
  <si>
    <t>name</t>
  </si>
  <si>
    <t>color</t>
  </si>
  <si>
    <t>executive</t>
  </si>
  <si>
    <t>Executive</t>
  </si>
  <si>
    <t>exec</t>
  </si>
  <si>
    <t>events</t>
  </si>
  <si>
    <t>Events, Programming, and Sales</t>
  </si>
  <si>
    <t>yellow</t>
  </si>
  <si>
    <t>member-services</t>
  </si>
  <si>
    <t>Member Services and Recognition</t>
  </si>
  <si>
    <t>green</t>
  </si>
  <si>
    <t>content</t>
  </si>
  <si>
    <t>Content</t>
  </si>
  <si>
    <t>orange</t>
  </si>
  <si>
    <t>marketing</t>
  </si>
  <si>
    <t>Marketing and Communications</t>
  </si>
  <si>
    <t>blue</t>
  </si>
  <si>
    <t>finance</t>
  </si>
  <si>
    <t>Finance</t>
  </si>
  <si>
    <t>pink</t>
  </si>
  <si>
    <t>Meta:</t>
  </si>
  <si>
    <t>organization</t>
  </si>
  <si>
    <t>The Minerals, Metals &amp; Materials Society</t>
  </si>
  <si>
    <t>shortName</t>
  </si>
  <si>
    <t>TMS</t>
  </si>
  <si>
    <t>address</t>
  </si>
  <si>
    <t>5700 Corporate Drive Suite 750, Pittsburgh, PA 15237 USA</t>
  </si>
  <si>
    <t>phone</t>
  </si>
  <si>
    <t>1-724-776-9000</t>
  </si>
  <si>
    <t>fax</t>
  </si>
  <si>
    <t>1-724-776-3770</t>
  </si>
  <si>
    <t>website</t>
  </si>
  <si>
    <t>www.tms.org</t>
  </si>
  <si>
    <t>version</t>
  </si>
  <si>
    <t>Direct:</t>
  </si>
  <si>
    <t>724-814-3146</t>
  </si>
  <si>
    <t>aarbuckle@tms.org</t>
  </si>
  <si>
    <t>ArbuckleAlicia.jpg</t>
  </si>
  <si>
    <t>Photo:</t>
  </si>
  <si>
    <t>Email:</t>
  </si>
  <si>
    <t>Ext:</t>
  </si>
  <si>
    <t>Id:</t>
  </si>
  <si>
    <t>Dept ID:</t>
  </si>
  <si>
    <t>Role:</t>
  </si>
  <si>
    <t>dept_head</t>
  </si>
  <si>
    <t>Reporting:</t>
  </si>
  <si>
    <t>Arbuckle-Alicia</t>
  </si>
  <si>
    <t>Dunlap-Trudi</t>
  </si>
  <si>
    <t>TMS Staff Tools</t>
  </si>
  <si>
    <t>Description:</t>
  </si>
  <si>
    <t>Short Descriptions can be added to all staff or leave blank…</t>
  </si>
  <si>
    <t>Matt</t>
  </si>
  <si>
    <t>Baker</t>
  </si>
  <si>
    <t>Department Head, Content</t>
  </si>
  <si>
    <t>Baker-Matt</t>
  </si>
  <si>
    <t>724-814-3176</t>
  </si>
  <si>
    <t>mbaker@tms.org</t>
  </si>
  <si>
    <t>BakerMatt.jpg</t>
  </si>
  <si>
    <t>Birthdate:</t>
  </si>
  <si>
    <t>November 24</t>
  </si>
  <si>
    <t>December 4</t>
  </si>
  <si>
    <t>Ashley-Anne</t>
  </si>
  <si>
    <t>Bohnert</t>
  </si>
  <si>
    <t>Department Head, Marketing and Communications</t>
  </si>
  <si>
    <t>August 25</t>
  </si>
  <si>
    <t>Bohnert-Ashley</t>
  </si>
  <si>
    <t>724-814-3188</t>
  </si>
  <si>
    <t>abohnert@tms.org</t>
  </si>
  <si>
    <t>BohnertAshley.jpg</t>
  </si>
  <si>
    <t>Adrianne</t>
  </si>
  <si>
    <t>Carolla</t>
  </si>
  <si>
    <t>Deputy Executive Director</t>
  </si>
  <si>
    <t>June 3</t>
  </si>
  <si>
    <t>Carolla-Adrianne</t>
  </si>
  <si>
    <t>724-814-3180</t>
  </si>
  <si>
    <t>acarolla@tms.org</t>
  </si>
  <si>
    <t>CarollaAdrianne.jpg</t>
  </si>
  <si>
    <t>deputy</t>
  </si>
  <si>
    <t>Robert</t>
  </si>
  <si>
    <t>Demmler</t>
  </si>
  <si>
    <t>AI Integration and Visual Communications Specialist</t>
  </si>
  <si>
    <t>July 29</t>
  </si>
  <si>
    <t>Demmler-Robert</t>
  </si>
  <si>
    <t>724-814-3120</t>
  </si>
  <si>
    <t>bdemmler@tms.org</t>
  </si>
  <si>
    <t>DemmlerRobert.jpg</t>
  </si>
  <si>
    <t>staff</t>
  </si>
  <si>
    <t>Rasel-Dave</t>
  </si>
  <si>
    <t>Trudi</t>
  </si>
  <si>
    <t>Dunlap</t>
  </si>
  <si>
    <t>Executive Director and Chief Executive Officer</t>
  </si>
  <si>
    <t>March 6</t>
  </si>
  <si>
    <t>724-814-3174</t>
  </si>
  <si>
    <t>tdunlap@tms.org</t>
  </si>
  <si>
    <t>DunlapTrudi.jpg</t>
  </si>
  <si>
    <t>Megan</t>
  </si>
  <si>
    <t>Enright</t>
  </si>
  <si>
    <t>Marketing Administrator</t>
  </si>
  <si>
    <t>October 8</t>
  </si>
  <si>
    <t>Enright-Megan</t>
  </si>
  <si>
    <t>724-814-3106</t>
  </si>
  <si>
    <t>menright@tms.org</t>
  </si>
  <si>
    <t>EnrightMegan.jpg</t>
  </si>
  <si>
    <t>manager</t>
  </si>
  <si>
    <t>Cheryl</t>
  </si>
  <si>
    <t>Geier</t>
  </si>
  <si>
    <t>Senior Graphic Designer</t>
  </si>
  <si>
    <t>March 12</t>
  </si>
  <si>
    <t>Geier-Cheryl</t>
  </si>
  <si>
    <t>724-814-3154</t>
  </si>
  <si>
    <t>cgeier@tms.org</t>
  </si>
  <si>
    <t>GeierCheryl.jpg</t>
  </si>
  <si>
    <t>Jeffrey</t>
  </si>
  <si>
    <t>Gnacinski</t>
  </si>
  <si>
    <t>Programming Manager</t>
  </si>
  <si>
    <t>September 11</t>
  </si>
  <si>
    <t>Gnacinski-Jeffrey</t>
  </si>
  <si>
    <t>724-814-3166</t>
  </si>
  <si>
    <t>jgnacinski@tms.org</t>
  </si>
  <si>
    <t>GnacinskiJeffrey.jpg</t>
  </si>
  <si>
    <t>Scheuring-Diane</t>
  </si>
  <si>
    <t>Diana</t>
  </si>
  <si>
    <t>Grady</t>
  </si>
  <si>
    <t>Customer and Administrative Services Specialist</t>
  </si>
  <si>
    <t>May 5</t>
  </si>
  <si>
    <t>Grady-Diana</t>
  </si>
  <si>
    <t>724-814-3112</t>
  </si>
  <si>
    <t>dgrady@tms.org</t>
  </si>
  <si>
    <t>GradyDiana.jpg</t>
  </si>
  <si>
    <t>Show-Janel</t>
  </si>
  <si>
    <t>Joni</t>
  </si>
  <si>
    <t>Gregg</t>
  </si>
  <si>
    <t>Technical Divisions Administrator</t>
  </si>
  <si>
    <t>March 15</t>
  </si>
  <si>
    <t>Gregg-Joni</t>
  </si>
  <si>
    <t>724-814-3124</t>
  </si>
  <si>
    <t>jgregg@tms.org</t>
  </si>
  <si>
    <t>GreggJoni.jpg</t>
  </si>
  <si>
    <t>Hammer-Courtney</t>
  </si>
  <si>
    <t>Ken</t>
  </si>
  <si>
    <t>Grzegorczyk</t>
  </si>
  <si>
    <t>Full Stack Developer and Webmaster</t>
  </si>
  <si>
    <t>April 22</t>
  </si>
  <si>
    <t>Grzegorczyk-Ken</t>
  </si>
  <si>
    <t>724-814-3164</t>
  </si>
  <si>
    <t>kgrzegorczyk@tms.org</t>
  </si>
  <si>
    <t>GrzegorczykKen.jpg</t>
  </si>
  <si>
    <t>Courtney</t>
  </si>
  <si>
    <t>Hammer</t>
  </si>
  <si>
    <t>Department Head, Member Services and Recognition</t>
  </si>
  <si>
    <t>September 20</t>
  </si>
  <si>
    <t>724-814-3172</t>
  </si>
  <si>
    <t>chammer@tms.org</t>
  </si>
  <si>
    <t>HammerCourtney.jpg</t>
  </si>
  <si>
    <t>Beate</t>
  </si>
  <si>
    <t>Helsel</t>
  </si>
  <si>
    <t>Senior Manager, Research, Engagement, Data, and Information</t>
  </si>
  <si>
    <t>August 10</t>
  </si>
  <si>
    <t>Helsel-Beate</t>
  </si>
  <si>
    <t>724-814-3182</t>
  </si>
  <si>
    <t>bhelsel@tms.org</t>
  </si>
  <si>
    <t>HelselBeate.jpg</t>
  </si>
  <si>
    <t>Deborah</t>
  </si>
  <si>
    <t>Hixon</t>
  </si>
  <si>
    <t>Awards Program Manager</t>
  </si>
  <si>
    <t>September 21</t>
  </si>
  <si>
    <t>Hixon-Deborah</t>
  </si>
  <si>
    <t>724-814-3142</t>
  </si>
  <si>
    <t>hixon@tms.org</t>
  </si>
  <si>
    <t>HixonDeborah.jpg</t>
  </si>
  <si>
    <t>Sarah</t>
  </si>
  <si>
    <t>Huffman</t>
  </si>
  <si>
    <t>Administrative Assistant</t>
  </si>
  <si>
    <t>January 4</t>
  </si>
  <si>
    <t>Huffman-Sarah</t>
  </si>
  <si>
    <t>724-814-3186</t>
  </si>
  <si>
    <t>shuffman@tms.org</t>
  </si>
  <si>
    <t>HuffmanSarah.jpg</t>
  </si>
  <si>
    <t>exec_staff</t>
  </si>
  <si>
    <t>Tess</t>
  </si>
  <si>
    <t>Killeen</t>
  </si>
  <si>
    <t>Specialty Events Lead</t>
  </si>
  <si>
    <t>June 12</t>
  </si>
  <si>
    <t>Killeen-Tess</t>
  </si>
  <si>
    <t>724-814-3116</t>
  </si>
  <si>
    <t>tdejong@tms.org</t>
  </si>
  <si>
    <t>KilleenTess.jpg</t>
  </si>
  <si>
    <t>Colleen</t>
  </si>
  <si>
    <t>Madore</t>
  </si>
  <si>
    <t>Programming and Virtual Events Specialist</t>
  </si>
  <si>
    <t>August 16</t>
  </si>
  <si>
    <t>Madore-Colleen</t>
  </si>
  <si>
    <t>724-814-3134</t>
  </si>
  <si>
    <t>cmadore@tms.org</t>
  </si>
  <si>
    <t>MadoreColleen.jpg</t>
  </si>
  <si>
    <t>Kelly</t>
  </si>
  <si>
    <t>Markel</t>
  </si>
  <si>
    <t>Publications Managing Editor</t>
  </si>
  <si>
    <t>August 22</t>
  </si>
  <si>
    <t>Markel-Kelly</t>
  </si>
  <si>
    <t>724-814-3108</t>
  </si>
  <si>
    <t>kmarkel@tms.org</t>
  </si>
  <si>
    <t>MarkelKelly.jpg</t>
  </si>
  <si>
    <t>Kellye</t>
  </si>
  <si>
    <t>Parsson</t>
  </si>
  <si>
    <t>Global Conferences and Events Manager</t>
  </si>
  <si>
    <t>July 31</t>
  </si>
  <si>
    <t>Parsson-Kellye</t>
  </si>
  <si>
    <t>724-814-3194</t>
  </si>
  <si>
    <t>kparsson@tms.org</t>
  </si>
  <si>
    <t>ParssonKellye.jpg</t>
  </si>
  <si>
    <t>Dave</t>
  </si>
  <si>
    <t>Rasel</t>
  </si>
  <si>
    <t>Senior Manager, Brand and Digital Assets</t>
  </si>
  <si>
    <t>May 19</t>
  </si>
  <si>
    <t>724-814-3158</t>
  </si>
  <si>
    <t>drasel@tms.org</t>
  </si>
  <si>
    <t>RaselDave.jpg</t>
  </si>
  <si>
    <t>Diane</t>
  </si>
  <si>
    <t>Scheuring</t>
  </si>
  <si>
    <t>Department Head, Events, Programming, and Sales</t>
  </si>
  <si>
    <t>March 24</t>
  </si>
  <si>
    <t>724-814-3110</t>
  </si>
  <si>
    <t>dscheuring@tms.org</t>
  </si>
  <si>
    <t>ScheuringDiane.jpg</t>
  </si>
  <si>
    <t>Marleen</t>
  </si>
  <si>
    <t>Schrader</t>
  </si>
  <si>
    <t>Accounting and Grants Manager</t>
  </si>
  <si>
    <t>November 23</t>
  </si>
  <si>
    <t>Schrader-Marleen</t>
  </si>
  <si>
    <t>724-814-3178</t>
  </si>
  <si>
    <t>mschrader@tms.org</t>
  </si>
  <si>
    <t>SchraderMarleen.jpg</t>
  </si>
  <si>
    <t>Jillian</t>
  </si>
  <si>
    <t>Schultz</t>
  </si>
  <si>
    <t>Digital Engagement Specialist</t>
  </si>
  <si>
    <t>April 29</t>
  </si>
  <si>
    <t>Schultz-Jillian</t>
  </si>
  <si>
    <t>724-814-3168</t>
  </si>
  <si>
    <t>jschultz@tms.org</t>
  </si>
  <si>
    <t>SchultzJillian.jpg</t>
  </si>
  <si>
    <t>Janel</t>
  </si>
  <si>
    <t>Show</t>
  </si>
  <si>
    <t>Volunteer and Customer Service Manager</t>
  </si>
  <si>
    <t>October 2</t>
  </si>
  <si>
    <t>724-814-3156</t>
  </si>
  <si>
    <t>jshow@tms.org</t>
  </si>
  <si>
    <t>ShowJanel.jpg</t>
  </si>
  <si>
    <t>Patricia</t>
  </si>
  <si>
    <t>Warren</t>
  </si>
  <si>
    <t>Programming and Proceedings Specialist</t>
  </si>
  <si>
    <t>April 4</t>
  </si>
  <si>
    <t>Warren-Patricia</t>
  </si>
  <si>
    <t>724-814-3152</t>
  </si>
  <si>
    <t>pwarren@tms.org</t>
  </si>
  <si>
    <t>WarrenPatricia.jpg</t>
  </si>
  <si>
    <t>Zappas</t>
  </si>
  <si>
    <t>JOM: The Magazine Editor / Membership Communications Manager</t>
  </si>
  <si>
    <t>May 4</t>
  </si>
  <si>
    <t>Zappas-Kelly</t>
  </si>
  <si>
    <t>724-814-3122</t>
  </si>
  <si>
    <t>kzappas@tms.org</t>
  </si>
  <si>
    <t>ZappasKelly.jpg</t>
  </si>
  <si>
    <t>Paul</t>
  </si>
  <si>
    <t>Senior Manager, Information Technology</t>
  </si>
  <si>
    <t>November 21</t>
  </si>
  <si>
    <t>Zappas-Paul</t>
  </si>
  <si>
    <t>724-814-3126</t>
  </si>
  <si>
    <t>zappas@tms.org</t>
  </si>
  <si>
    <t>ZappasPaul.jpg</t>
  </si>
  <si>
    <t>Abby</t>
  </si>
  <si>
    <t>Davis</t>
  </si>
  <si>
    <t>Davis-Abby</t>
  </si>
  <si>
    <t>724-814-3140</t>
  </si>
  <si>
    <t>adavis@tms.org</t>
  </si>
  <si>
    <t>DavisAbby.jpg</t>
  </si>
  <si>
    <t>Sales and Exhibition Specialist</t>
  </si>
  <si>
    <t>Mobile:</t>
  </si>
  <si>
    <t>724-312-7425</t>
  </si>
  <si>
    <t>724-544-7049</t>
  </si>
  <si>
    <t>412-639-3769</t>
  </si>
  <si>
    <t>724-312-0931</t>
  </si>
  <si>
    <t>412-807-1113</t>
  </si>
  <si>
    <t>724-504-2391</t>
  </si>
  <si>
    <t>412-983-3383</t>
  </si>
  <si>
    <t>412-908-9447</t>
  </si>
  <si>
    <t>760-579-1912</t>
  </si>
  <si>
    <t>412-973-4485</t>
  </si>
  <si>
    <t>724-801-0922</t>
  </si>
  <si>
    <t>269-779-1932</t>
  </si>
  <si>
    <t>561-859-4905</t>
  </si>
  <si>
    <t>724-968-6259*</t>
  </si>
  <si>
    <t>412-716-1391</t>
  </si>
  <si>
    <t>240-750-0751</t>
  </si>
  <si>
    <t>412-519-8057</t>
  </si>
  <si>
    <t>724-553-6857</t>
  </si>
  <si>
    <t>412-992-0441</t>
  </si>
  <si>
    <t>814-823-3957</t>
  </si>
  <si>
    <t>724-316-8775</t>
  </si>
  <si>
    <t>860-681-9485</t>
  </si>
  <si>
    <t>724-601-2198</t>
  </si>
  <si>
    <t>412-245-0326</t>
  </si>
  <si>
    <t>513-320-7744</t>
  </si>
  <si>
    <t>412-720-7771</t>
  </si>
  <si>
    <t>574-485-2485</t>
  </si>
  <si>
    <t>717-575-8007</t>
  </si>
  <si>
    <t>724-495-9548</t>
  </si>
  <si>
    <t>December 3</t>
  </si>
  <si>
    <t>v0.35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</si>
</sst>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3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name val="Calibri"/>
      <family val="2"/>
    </font>
    <font>
      <sz val="10"/>
      <color theme="0"/>
      <name val="Calibri"/>
      <family val="2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charset val="1"/>
    </font>
    <font>
      <b/>
      <sz val="14"/>
      <color theme="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rgb="FF8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18" fontId="0" fillId="0" borderId="5" xfId="0" applyNumberFormat="1" applyBorder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18" fontId="0" fillId="2" borderId="17" xfId="0" applyNumberFormat="1" applyFill="1" applyBorder="1" applyAlignment="1">
      <alignment horizontal="center" vertical="center"/>
    </xf>
    <xf numFmtId="18" fontId="0" fillId="2" borderId="10" xfId="0" applyNumberFormat="1" applyFill="1" applyBorder="1" applyAlignment="1">
      <alignment horizontal="center" vertical="center"/>
    </xf>
    <xf numFmtId="18" fontId="0" fillId="2" borderId="15" xfId="0" applyNumberFormat="1" applyFill="1" applyBorder="1" applyAlignment="1">
      <alignment horizontal="center" vertical="center"/>
    </xf>
    <xf numFmtId="18" fontId="0" fillId="2" borderId="4" xfId="0" applyNumberFormat="1" applyFill="1" applyBorder="1" applyAlignment="1">
      <alignment horizontal="center" vertical="center"/>
    </xf>
    <xf numFmtId="18" fontId="0" fillId="2" borderId="1" xfId="0" applyNumberFormat="1" applyFill="1" applyBorder="1" applyAlignment="1">
      <alignment horizontal="center" vertical="center"/>
    </xf>
    <xf numFmtId="164" fontId="0" fillId="0" borderId="21" xfId="0" applyNumberFormat="1" applyBorder="1" applyAlignment="1" applyProtection="1">
      <alignment horizontal="center" vertic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23" xfId="0" applyNumberFormat="1" applyBorder="1" applyAlignment="1" applyProtection="1">
      <alignment horizontal="center" vertical="center"/>
      <protection locked="0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/>
    <xf numFmtId="0" fontId="9" fillId="6" borderId="0" xfId="0" applyFont="1" applyFill="1"/>
    <xf numFmtId="0" fontId="6" fillId="6" borderId="0" xfId="0" applyFont="1" applyFill="1"/>
    <xf numFmtId="0" fontId="9" fillId="7" borderId="0" xfId="0" applyFont="1" applyFill="1"/>
    <xf numFmtId="14" fontId="0" fillId="0" borderId="0" xfId="0" applyNumberFormat="1" applyAlignment="1">
      <alignment horizontal="left"/>
    </xf>
    <xf numFmtId="0" fontId="11" fillId="0" borderId="8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9" fillId="6" borderId="0" xfId="0" applyFont="1" applyFill="1" applyAlignment="1">
      <alignment horizontal="left"/>
    </xf>
    <xf numFmtId="0" fontId="11" fillId="0" borderId="7" xfId="0" applyFont="1" applyBorder="1" applyAlignment="1" applyProtection="1">
      <alignment horizontal="left" vertical="center"/>
      <protection locked="0"/>
    </xf>
    <xf numFmtId="0" fontId="0" fillId="0" borderId="12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1" fillId="0" borderId="5" xfId="0" applyFont="1" applyBorder="1" applyAlignment="1" applyProtection="1">
      <alignment horizontal="left"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0" fontId="7" fillId="6" borderId="5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5" fillId="4" borderId="1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11" fillId="0" borderId="5" xfId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left" vertical="center"/>
      <protection locked="0"/>
    </xf>
    <xf numFmtId="0" fontId="12" fillId="8" borderId="5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1414"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89013336588644"/>
        </patternFill>
      </fill>
    </dxf>
    <dxf>
      <fill>
        <patternFill>
          <bgColor theme="8" tint="0.79989013336588644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F757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7575"/>
      <color rgb="FFFF8B8B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arbuckle@tms.or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baker@tms.or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davis@tm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A3B5-6E20-49E9-AB58-BAB671C06ED4}">
  <sheetPr codeName="Sheet32"/>
  <dimension ref="A1:C20"/>
  <sheetViews>
    <sheetView tabSelected="1" workbookViewId="0">
      <selection activeCell="B22" sqref="B22"/>
    </sheetView>
  </sheetViews>
  <sheetFormatPr defaultColWidth="20.5703125" defaultRowHeight="15" x14ac:dyDescent="0.25"/>
  <cols>
    <col min="2" max="2" width="41" customWidth="1"/>
  </cols>
  <sheetData>
    <row r="1" spans="1:3" x14ac:dyDescent="0.25">
      <c r="A1" s="44" t="s">
        <v>86</v>
      </c>
      <c r="B1" s="44"/>
      <c r="C1" s="44"/>
    </row>
    <row r="2" spans="1:3" x14ac:dyDescent="0.25">
      <c r="A2" s="34" t="s">
        <v>28</v>
      </c>
      <c r="B2" s="38">
        <v>46231</v>
      </c>
    </row>
    <row r="4" spans="1:3" x14ac:dyDescent="0.25">
      <c r="A4" s="35" t="s">
        <v>36</v>
      </c>
      <c r="B4" s="36"/>
      <c r="C4" s="36"/>
    </row>
    <row r="5" spans="1:3" x14ac:dyDescent="0.25">
      <c r="A5" s="37" t="s">
        <v>37</v>
      </c>
      <c r="B5" s="37" t="s">
        <v>38</v>
      </c>
      <c r="C5" s="37" t="s">
        <v>39</v>
      </c>
    </row>
    <row r="6" spans="1:3" x14ac:dyDescent="0.25">
      <c r="A6" s="34" t="s">
        <v>40</v>
      </c>
      <c r="B6" s="34" t="s">
        <v>41</v>
      </c>
      <c r="C6" s="34" t="s">
        <v>42</v>
      </c>
    </row>
    <row r="7" spans="1:3" x14ac:dyDescent="0.25">
      <c r="A7" s="34" t="s">
        <v>43</v>
      </c>
      <c r="B7" s="34" t="s">
        <v>44</v>
      </c>
      <c r="C7" s="34" t="s">
        <v>45</v>
      </c>
    </row>
    <row r="8" spans="1:3" x14ac:dyDescent="0.25">
      <c r="A8" s="34" t="s">
        <v>46</v>
      </c>
      <c r="B8" s="34" t="s">
        <v>47</v>
      </c>
      <c r="C8" s="34" t="s">
        <v>48</v>
      </c>
    </row>
    <row r="9" spans="1:3" x14ac:dyDescent="0.25">
      <c r="A9" s="34" t="s">
        <v>49</v>
      </c>
      <c r="B9" s="34" t="s">
        <v>50</v>
      </c>
      <c r="C9" s="34" t="s">
        <v>51</v>
      </c>
    </row>
    <row r="10" spans="1:3" x14ac:dyDescent="0.25">
      <c r="A10" s="34" t="s">
        <v>52</v>
      </c>
      <c r="B10" s="34" t="s">
        <v>53</v>
      </c>
      <c r="C10" s="34" t="s">
        <v>54</v>
      </c>
    </row>
    <row r="11" spans="1:3" x14ac:dyDescent="0.25">
      <c r="A11" s="34" t="s">
        <v>55</v>
      </c>
      <c r="B11" s="34" t="s">
        <v>56</v>
      </c>
      <c r="C11" s="34" t="s">
        <v>57</v>
      </c>
    </row>
    <row r="12" spans="1:3" x14ac:dyDescent="0.25">
      <c r="A12" s="34"/>
      <c r="B12" s="34"/>
      <c r="C12" s="34"/>
    </row>
    <row r="13" spans="1:3" x14ac:dyDescent="0.25">
      <c r="A13" s="35" t="s">
        <v>58</v>
      </c>
      <c r="B13" s="35"/>
      <c r="C13" s="35"/>
    </row>
    <row r="14" spans="1:3" x14ac:dyDescent="0.25">
      <c r="A14" s="34" t="s">
        <v>59</v>
      </c>
      <c r="B14" s="34" t="s">
        <v>60</v>
      </c>
      <c r="C14" s="34"/>
    </row>
    <row r="15" spans="1:3" x14ac:dyDescent="0.25">
      <c r="A15" s="34" t="s">
        <v>61</v>
      </c>
      <c r="B15" s="34" t="s">
        <v>62</v>
      </c>
      <c r="C15" s="34"/>
    </row>
    <row r="16" spans="1:3" x14ac:dyDescent="0.25">
      <c r="A16" s="34" t="s">
        <v>63</v>
      </c>
      <c r="B16" s="34" t="s">
        <v>64</v>
      </c>
      <c r="C16" s="34"/>
    </row>
    <row r="17" spans="1:3" x14ac:dyDescent="0.25">
      <c r="A17" s="34" t="s">
        <v>65</v>
      </c>
      <c r="B17" s="34" t="s">
        <v>66</v>
      </c>
      <c r="C17" s="34"/>
    </row>
    <row r="18" spans="1:3" x14ac:dyDescent="0.25">
      <c r="A18" s="34" t="s">
        <v>67</v>
      </c>
      <c r="B18" s="34" t="s">
        <v>68</v>
      </c>
      <c r="C18" s="34"/>
    </row>
    <row r="19" spans="1:3" x14ac:dyDescent="0.25">
      <c r="A19" s="34" t="s">
        <v>69</v>
      </c>
      <c r="B19" s="34" t="s">
        <v>70</v>
      </c>
      <c r="C19" s="34"/>
    </row>
    <row r="20" spans="1:3" x14ac:dyDescent="0.25">
      <c r="A20" s="34" t="s">
        <v>71</v>
      </c>
      <c r="B20" s="34" t="s">
        <v>346</v>
      </c>
      <c r="C20" s="34"/>
    </row>
  </sheetData>
  <sheetProtection selectLockedCells="1"/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F20F-ACA5-4DC3-BF7A-3B39220BA59B}">
  <sheetPr codeName="Sheet2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5" ht="22.5" customHeight="1" x14ac:dyDescent="0.25">
      <c r="A1" s="39" t="s">
        <v>30</v>
      </c>
      <c r="B1" s="40"/>
      <c r="C1" s="45" t="s">
        <v>34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5" ht="22.5" customHeight="1" x14ac:dyDescent="0.25">
      <c r="A2" s="41" t="s">
        <v>31</v>
      </c>
      <c r="B2" s="41"/>
      <c r="C2" s="56" t="s">
        <v>32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5" ht="22.5" customHeight="1" x14ac:dyDescent="0.25">
      <c r="A3" s="41" t="s">
        <v>29</v>
      </c>
      <c r="B3" s="41"/>
      <c r="C3" s="56" t="s">
        <v>33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5" ht="22.5" customHeight="1" x14ac:dyDescent="0.25">
      <c r="A4" s="41" t="s">
        <v>96</v>
      </c>
      <c r="B4" s="41"/>
      <c r="C4" s="56" t="s">
        <v>97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5" ht="22.5" customHeight="1" x14ac:dyDescent="0.25">
      <c r="A5" s="41" t="s">
        <v>79</v>
      </c>
      <c r="B5" s="41"/>
      <c r="C5" s="56" t="s">
        <v>84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5" ht="22.5" customHeight="1" x14ac:dyDescent="0.25">
      <c r="A6" s="41" t="s">
        <v>72</v>
      </c>
      <c r="B6" s="41"/>
      <c r="C6" s="56" t="s">
        <v>73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5" ht="22.5" customHeight="1" x14ac:dyDescent="0.25">
      <c r="A7" s="41" t="s">
        <v>78</v>
      </c>
      <c r="B7" s="41"/>
      <c r="C7" s="56">
        <v>235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5" ht="22.5" customHeight="1" x14ac:dyDescent="0.25">
      <c r="A8" s="41" t="s">
        <v>315</v>
      </c>
      <c r="B8" s="41"/>
      <c r="C8" s="59" t="s">
        <v>344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5" ht="22.5" customHeight="1" x14ac:dyDescent="0.25">
      <c r="A9" s="41" t="s">
        <v>77</v>
      </c>
      <c r="B9" s="41"/>
      <c r="C9" s="56" t="s">
        <v>74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9"/>
    </row>
    <row r="10" spans="1:25" ht="22.5" customHeight="1" x14ac:dyDescent="0.25">
      <c r="A10" s="41" t="s">
        <v>76</v>
      </c>
      <c r="B10" s="41"/>
      <c r="C10" s="56" t="s">
        <v>75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5" ht="22.5" customHeight="1" x14ac:dyDescent="0.25">
      <c r="A11" s="41" t="s">
        <v>80</v>
      </c>
      <c r="B11" s="41"/>
      <c r="C11" s="56" t="s">
        <v>55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5" ht="22.5" customHeight="1" x14ac:dyDescent="0.25">
      <c r="A12" s="41" t="s">
        <v>81</v>
      </c>
      <c r="B12" s="41"/>
      <c r="C12" s="56" t="s">
        <v>82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5" ht="22.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5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5" ht="22.5" customHeight="1" x14ac:dyDescent="0.25"/>
    <row r="16" spans="1:25" ht="18.75" x14ac:dyDescent="0.25">
      <c r="A16" s="57" t="s">
        <v>35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8"/>
    </row>
    <row r="17" spans="1:25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0.29166666666666669</v>
      </c>
      <c r="J23" s="15">
        <v>0.47916666666666669</v>
      </c>
      <c r="K23" s="17" t="s">
        <v>11</v>
      </c>
      <c r="L23" s="15">
        <v>0.34375</v>
      </c>
      <c r="M23" s="15">
        <v>0.5</v>
      </c>
      <c r="N23" s="17" t="s">
        <v>23</v>
      </c>
      <c r="O23" s="15">
        <v>0.29166666666666669</v>
      </c>
      <c r="P23" s="15">
        <v>0.47916666666666669</v>
      </c>
      <c r="Q23" s="17" t="s">
        <v>11</v>
      </c>
      <c r="R23" s="15">
        <v>0.34375</v>
      </c>
      <c r="S23" s="15">
        <v>0.5</v>
      </c>
      <c r="T23" s="17" t="s">
        <v>23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</v>
      </c>
      <c r="J24" s="15">
        <v>0.6875</v>
      </c>
      <c r="K24" s="17" t="s">
        <v>11</v>
      </c>
      <c r="L24" s="15">
        <v>0.51041666666666663</v>
      </c>
      <c r="M24" s="15">
        <v>0.70833333333333337</v>
      </c>
      <c r="N24" s="17" t="s">
        <v>23</v>
      </c>
      <c r="O24" s="15">
        <v>0.5</v>
      </c>
      <c r="P24" s="15">
        <v>0.6875</v>
      </c>
      <c r="Q24" s="17" t="s">
        <v>11</v>
      </c>
      <c r="R24" s="15">
        <v>0.51041666666666663</v>
      </c>
      <c r="S24" s="15">
        <v>0.70833333333333337</v>
      </c>
      <c r="T24" s="17" t="s">
        <v>23</v>
      </c>
      <c r="U24" s="15"/>
      <c r="V24" s="15"/>
      <c r="W24" s="17"/>
      <c r="X24" s="7"/>
      <c r="Y24" s="9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9</v>
      </c>
      <c r="J29" s="63"/>
      <c r="K29" s="64"/>
      <c r="L29" s="62" cm="1">
        <f t="array" ref="L29">SUM((M23:M27-L23:L27)*24)</f>
        <v>8.5000000000000018</v>
      </c>
      <c r="M29" s="63"/>
      <c r="N29" s="64"/>
      <c r="O29" s="62" cm="1">
        <f t="array" ref="O29">SUM((P23:P27-O23:O27)*24)</f>
        <v>9</v>
      </c>
      <c r="P29" s="63"/>
      <c r="Q29" s="64"/>
      <c r="R29" s="62" cm="1">
        <f t="array" ref="R29">SUM((S23:S27-R23:R27)*24)</f>
        <v>8.5000000000000018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4" x14ac:dyDescent="0.25">
      <c r="A33" s="10" t="s">
        <v>25</v>
      </c>
      <c r="C33" s="68">
        <f>SUM(C29:W29)</f>
        <v>35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4" ht="15.75" thickBot="1" x14ac:dyDescent="0.3">
      <c r="X34" s="7"/>
    </row>
    <row r="35" spans="1:24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4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4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</row>
    <row r="38" spans="1:24" x14ac:dyDescent="0.25">
      <c r="A38" s="6" t="s">
        <v>9</v>
      </c>
      <c r="C38" s="18"/>
      <c r="D38" s="15"/>
      <c r="E38" s="17"/>
      <c r="F38" s="16"/>
      <c r="G38" s="15"/>
      <c r="H38" s="17"/>
      <c r="I38" s="15">
        <v>0.29166666666666669</v>
      </c>
      <c r="J38" s="15">
        <v>0.47916666666666669</v>
      </c>
      <c r="K38" s="17" t="s">
        <v>11</v>
      </c>
      <c r="L38" s="15">
        <v>0.34375</v>
      </c>
      <c r="M38" s="15">
        <v>0.5</v>
      </c>
      <c r="N38" s="17" t="s">
        <v>23</v>
      </c>
      <c r="O38" s="15">
        <v>0.29166666666666669</v>
      </c>
      <c r="P38" s="15">
        <v>0.47916666666666669</v>
      </c>
      <c r="Q38" s="17" t="s">
        <v>11</v>
      </c>
      <c r="R38" s="15">
        <v>0.34375</v>
      </c>
      <c r="S38" s="15">
        <v>0.5</v>
      </c>
      <c r="T38" s="17" t="s">
        <v>23</v>
      </c>
      <c r="U38" s="15">
        <v>0.29166666666666669</v>
      </c>
      <c r="V38" s="15">
        <v>0.5</v>
      </c>
      <c r="W38" s="17" t="s">
        <v>11</v>
      </c>
      <c r="X38" s="7"/>
    </row>
    <row r="39" spans="1:24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</v>
      </c>
      <c r="J39" s="15">
        <v>0.6875</v>
      </c>
      <c r="K39" s="17" t="s">
        <v>11</v>
      </c>
      <c r="L39" s="15">
        <v>0.51041666666666663</v>
      </c>
      <c r="M39" s="15">
        <v>0.70833333333333337</v>
      </c>
      <c r="N39" s="17" t="s">
        <v>23</v>
      </c>
      <c r="O39" s="15">
        <v>0.5</v>
      </c>
      <c r="P39" s="15">
        <v>0.6875</v>
      </c>
      <c r="Q39" s="17" t="s">
        <v>11</v>
      </c>
      <c r="R39" s="15">
        <v>0.51041666666666663</v>
      </c>
      <c r="S39" s="15">
        <v>0.70833333333333337</v>
      </c>
      <c r="T39" s="17" t="s">
        <v>23</v>
      </c>
      <c r="U39" s="15"/>
      <c r="V39" s="15"/>
      <c r="W39" s="17"/>
      <c r="X39" s="7"/>
    </row>
    <row r="40" spans="1:24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4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4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4" x14ac:dyDescent="0.25">
      <c r="X43" s="7"/>
    </row>
    <row r="44" spans="1:24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9</v>
      </c>
      <c r="J44" s="63"/>
      <c r="K44" s="64"/>
      <c r="L44" s="62" cm="1">
        <f t="array" ref="L44">SUM((M38:M42-L38:L42)*24)</f>
        <v>8.5000000000000018</v>
      </c>
      <c r="M44" s="63"/>
      <c r="N44" s="64"/>
      <c r="O44" s="62" cm="1">
        <f t="array" ref="O44">SUM((P38:P42-O38:O42)*24)</f>
        <v>9</v>
      </c>
      <c r="P44" s="63"/>
      <c r="Q44" s="64"/>
      <c r="R44" s="62" cm="1">
        <f t="array" ref="R44">SUM((S38:S42-R38:R42)*24)</f>
        <v>8.5000000000000018</v>
      </c>
      <c r="S44" s="63"/>
      <c r="T44" s="64"/>
      <c r="U44" s="62" cm="1">
        <f t="array" ref="U44">SUM((V38:V42-U38:U42)*24)</f>
        <v>5</v>
      </c>
      <c r="V44" s="63"/>
      <c r="W44" s="64"/>
      <c r="X44" s="7"/>
    </row>
    <row r="45" spans="1:24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4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4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4" x14ac:dyDescent="0.25">
      <c r="A48" s="10" t="s">
        <v>24</v>
      </c>
      <c r="C48" s="68">
        <f>SUM(C44:W44)</f>
        <v>40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9:T29"/>
    <mergeCell ref="U29:W29"/>
    <mergeCell ref="C21:E21"/>
    <mergeCell ref="F21:H21"/>
    <mergeCell ref="I21:K21"/>
    <mergeCell ref="L21:N21"/>
    <mergeCell ref="O21:Q21"/>
    <mergeCell ref="C29:E29"/>
    <mergeCell ref="F29:H29"/>
    <mergeCell ref="I29:K29"/>
    <mergeCell ref="L29:N29"/>
    <mergeCell ref="O29:Q29"/>
    <mergeCell ref="C11:X11"/>
    <mergeCell ref="C9:X9"/>
    <mergeCell ref="C8:X8"/>
    <mergeCell ref="R21:T21"/>
    <mergeCell ref="U21:W21"/>
    <mergeCell ref="C1:X1"/>
    <mergeCell ref="A17:A18"/>
    <mergeCell ref="B17:B18"/>
    <mergeCell ref="C17:X18"/>
    <mergeCell ref="C20:W20"/>
    <mergeCell ref="C2:X2"/>
    <mergeCell ref="C14:X14"/>
    <mergeCell ref="A16:X16"/>
    <mergeCell ref="C3:X3"/>
    <mergeCell ref="C4:X4"/>
    <mergeCell ref="C5:X5"/>
    <mergeCell ref="C6:X6"/>
    <mergeCell ref="C12:X12"/>
    <mergeCell ref="C13:X13"/>
    <mergeCell ref="C7:X7"/>
    <mergeCell ref="C10:X10"/>
  </mergeCells>
  <conditionalFormatting sqref="C50:E50">
    <cfRule type="expression" dxfId="1413" priority="34">
      <formula>C50=TRUE</formula>
    </cfRule>
    <cfRule type="expression" dxfId="1412" priority="33">
      <formula>C50=FALSE</formula>
    </cfRule>
  </conditionalFormatting>
  <conditionalFormatting sqref="C30:W30">
    <cfRule type="expression" dxfId="1411" priority="37">
      <formula>C30=FALSE</formula>
    </cfRule>
    <cfRule type="expression" dxfId="1410" priority="38">
      <formula>C30=TRUE</formula>
    </cfRule>
  </conditionalFormatting>
  <conditionalFormatting sqref="C45:W45">
    <cfRule type="expression" dxfId="1409" priority="36">
      <formula>C45=TRUE</formula>
    </cfRule>
    <cfRule type="expression" dxfId="1408" priority="35">
      <formula>C45=FALSE</formula>
    </cfRule>
  </conditionalFormatting>
  <conditionalFormatting sqref="E23:E27 N23:N27">
    <cfRule type="containsText" dxfId="1407" priority="32" operator="containsText" text="Office">
      <formula>NOT(ISERROR(SEARCH("Office",E23)))</formula>
    </cfRule>
    <cfRule type="containsText" dxfId="1406" priority="31" operator="containsText" text="Remote">
      <formula>NOT(ISERROR(SEARCH("Remote",E23)))</formula>
    </cfRule>
  </conditionalFormatting>
  <conditionalFormatting sqref="E38:E42">
    <cfRule type="containsText" dxfId="1405" priority="17" operator="containsText" text="Remote">
      <formula>NOT(ISERROR(SEARCH("Remote",E38)))</formula>
    </cfRule>
    <cfRule type="containsText" dxfId="1404" priority="18" operator="containsText" text="Office">
      <formula>NOT(ISERROR(SEARCH("Office",E38)))</formula>
    </cfRule>
  </conditionalFormatting>
  <conditionalFormatting sqref="H23:H27">
    <cfRule type="containsText" dxfId="1403" priority="30" operator="containsText" text="Office">
      <formula>NOT(ISERROR(SEARCH("Office",H23)))</formula>
    </cfRule>
    <cfRule type="containsText" dxfId="1402" priority="29" operator="containsText" text="Remote">
      <formula>NOT(ISERROR(SEARCH("Remote",H23)))</formula>
    </cfRule>
  </conditionalFormatting>
  <conditionalFormatting sqref="H38:H42">
    <cfRule type="containsText" dxfId="1401" priority="15" operator="containsText" text="Remote">
      <formula>NOT(ISERROR(SEARCH("Remote",H38)))</formula>
    </cfRule>
    <cfRule type="containsText" dxfId="1400" priority="16" operator="containsText" text="Office">
      <formula>NOT(ISERROR(SEARCH("Office",H38)))</formula>
    </cfRule>
  </conditionalFormatting>
  <conditionalFormatting sqref="I31:T31">
    <cfRule type="expression" dxfId="1399" priority="42">
      <formula>I31=TRUE</formula>
    </cfRule>
    <cfRule type="expression" dxfId="1398" priority="41">
      <formula>I31=FALSE</formula>
    </cfRule>
  </conditionalFormatting>
  <conditionalFormatting sqref="I46:T46">
    <cfRule type="expression" dxfId="1397" priority="39">
      <formula>I46=FALSE</formula>
    </cfRule>
    <cfRule type="expression" dxfId="1396" priority="40">
      <formula>I46=TRUE</formula>
    </cfRule>
  </conditionalFormatting>
  <conditionalFormatting sqref="K23:K27">
    <cfRule type="containsText" dxfId="1395" priority="27" operator="containsText" text="Remote">
      <formula>NOT(ISERROR(SEARCH("Remote",K23)))</formula>
    </cfRule>
    <cfRule type="containsText" dxfId="1394" priority="28" operator="containsText" text="Office">
      <formula>NOT(ISERROR(SEARCH("Office",K23)))</formula>
    </cfRule>
  </conditionalFormatting>
  <conditionalFormatting sqref="K38:K42">
    <cfRule type="containsText" dxfId="1393" priority="13" operator="containsText" text="Remote">
      <formula>NOT(ISERROR(SEARCH("Remote",K38)))</formula>
    </cfRule>
    <cfRule type="containsText" dxfId="1392" priority="14" operator="containsText" text="Office">
      <formula>NOT(ISERROR(SEARCH("Office",K38)))</formula>
    </cfRule>
  </conditionalFormatting>
  <conditionalFormatting sqref="N38:N42">
    <cfRule type="containsText" dxfId="1391" priority="1" operator="containsText" text="Remote">
      <formula>NOT(ISERROR(SEARCH("Remote",N38)))</formula>
    </cfRule>
    <cfRule type="containsText" dxfId="1390" priority="2" operator="containsText" text="Office">
      <formula>NOT(ISERROR(SEARCH("Office",N38)))</formula>
    </cfRule>
  </conditionalFormatting>
  <conditionalFormatting sqref="Q23:Q27">
    <cfRule type="containsText" dxfId="1389" priority="4" operator="containsText" text="Office">
      <formula>NOT(ISERROR(SEARCH("Office",Q23)))</formula>
    </cfRule>
    <cfRule type="containsText" dxfId="1388" priority="3" operator="containsText" text="Remote">
      <formula>NOT(ISERROR(SEARCH("Remote",Q23)))</formula>
    </cfRule>
  </conditionalFormatting>
  <conditionalFormatting sqref="Q38:Q42">
    <cfRule type="containsText" dxfId="1387" priority="10" operator="containsText" text="Office">
      <formula>NOT(ISERROR(SEARCH("Office",Q38)))</formula>
    </cfRule>
    <cfRule type="containsText" dxfId="1386" priority="9" operator="containsText" text="Remote">
      <formula>NOT(ISERROR(SEARCH("Remote",Q38)))</formula>
    </cfRule>
  </conditionalFormatting>
  <conditionalFormatting sqref="T23:T27">
    <cfRule type="containsText" dxfId="1385" priority="22" operator="containsText" text="Office">
      <formula>NOT(ISERROR(SEARCH("Office",T23)))</formula>
    </cfRule>
    <cfRule type="containsText" dxfId="1384" priority="21" operator="containsText" text="Remote">
      <formula>NOT(ISERROR(SEARCH("Remote",T23)))</formula>
    </cfRule>
  </conditionalFormatting>
  <conditionalFormatting sqref="T38:T42">
    <cfRule type="containsText" dxfId="1383" priority="8" operator="containsText" text="Office">
      <formula>NOT(ISERROR(SEARCH("Office",T38)))</formula>
    </cfRule>
    <cfRule type="containsText" dxfId="1382" priority="7" operator="containsText" text="Remote">
      <formula>NOT(ISERROR(SEARCH("Remote",T38)))</formula>
    </cfRule>
  </conditionalFormatting>
  <conditionalFormatting sqref="W23:W27">
    <cfRule type="containsText" dxfId="1381" priority="20" operator="containsText" text="Office">
      <formula>NOT(ISERROR(SEARCH("Office",W23)))</formula>
    </cfRule>
    <cfRule type="containsText" dxfId="1380" priority="19" operator="containsText" text="Remote">
      <formula>NOT(ISERROR(SEARCH("Remote",W23)))</formula>
    </cfRule>
  </conditionalFormatting>
  <conditionalFormatting sqref="W38:W42">
    <cfRule type="containsText" dxfId="1379" priority="6" operator="containsText" text="Office">
      <formula>NOT(ISERROR(SEARCH("Office",W38)))</formula>
    </cfRule>
    <cfRule type="containsText" dxfId="1378" priority="5" operator="containsText" text="Remote">
      <formula>NOT(ISERROR(SEARCH("Remote",W38)))</formula>
    </cfRule>
  </conditionalFormatting>
  <dataValidations count="1">
    <dataValidation type="list" allowBlank="1" showInputMessage="1" showErrorMessage="1" sqref="N23:N27 E23:E27 T23:T27 H23:H27 K23:K27 Q38:Q42 E38:E42 T38:T42 H38:H42 K38:K42 Q23:Q27 N38:N42 W23:X27 Y10:Y14 W38:X42 Y25:Y29" xr:uid="{4DE968E0-506F-4037-955B-37D6C3D67902}">
      <formula1>"Remote, Office"</formula1>
    </dataValidation>
  </dataValidations>
  <hyperlinks>
    <hyperlink ref="C9" r:id="rId1" xr:uid="{760F6B20-3D07-44C7-9211-DF3422C57C4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47C711E0-3388-4102-95B7-6C93ABAD9870}">
          <x14:formula1>
            <xm:f>FormTools!$A$1:$A$48</xm:f>
          </x14:formula1>
          <xm:sqref>U23:V27 C23:D27 F23:G27 I23:J27 L23:M27 U38:V42 I38:J42 O38:P42 C38:D42 F38:G42 R23:S27 O23:P27 R38:S42 L38:M42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D815-7C62-4037-A2AA-71015BD8D107}">
  <sheetPr codeName="Sheet3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5" ht="22.5" customHeight="1" x14ac:dyDescent="0.25">
      <c r="A1" s="39" t="s">
        <v>30</v>
      </c>
      <c r="B1" s="40"/>
      <c r="C1" s="45" t="s">
        <v>89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5" ht="22.5" customHeight="1" x14ac:dyDescent="0.25">
      <c r="A2" s="41" t="s">
        <v>31</v>
      </c>
      <c r="B2" s="41"/>
      <c r="C2" s="56" t="s">
        <v>90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5" ht="22.5" customHeight="1" x14ac:dyDescent="0.25">
      <c r="A3" s="41" t="s">
        <v>29</v>
      </c>
      <c r="B3" s="41"/>
      <c r="C3" s="56" t="s">
        <v>91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5" ht="22.5" customHeight="1" x14ac:dyDescent="0.25">
      <c r="A4" s="41" t="s">
        <v>96</v>
      </c>
      <c r="B4" s="41"/>
      <c r="C4" s="56" t="s">
        <v>98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5" ht="22.5" customHeight="1" x14ac:dyDescent="0.25">
      <c r="A5" s="41" t="s">
        <v>79</v>
      </c>
      <c r="B5" s="41"/>
      <c r="C5" s="56" t="s">
        <v>92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5" ht="22.5" customHeight="1" x14ac:dyDescent="0.25">
      <c r="A6" s="41" t="s">
        <v>72</v>
      </c>
      <c r="B6" s="41"/>
      <c r="C6" s="56" t="s">
        <v>93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5" ht="22.5" customHeight="1" x14ac:dyDescent="0.25">
      <c r="A7" s="41" t="s">
        <v>78</v>
      </c>
      <c r="B7" s="41"/>
      <c r="C7" s="69">
        <v>280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</row>
    <row r="8" spans="1:25" ht="22.5" customHeight="1" x14ac:dyDescent="0.25">
      <c r="A8" s="41" t="s">
        <v>315</v>
      </c>
      <c r="B8" s="41"/>
      <c r="C8" s="59" t="s">
        <v>343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5" ht="22.5" customHeight="1" x14ac:dyDescent="0.25">
      <c r="A9" s="41" t="s">
        <v>77</v>
      </c>
      <c r="B9" s="41"/>
      <c r="C9" s="56" t="s">
        <v>94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9"/>
    </row>
    <row r="10" spans="1:25" ht="22.5" customHeight="1" x14ac:dyDescent="0.25">
      <c r="A10" s="41" t="s">
        <v>76</v>
      </c>
      <c r="B10" s="41"/>
      <c r="C10" s="56" t="s">
        <v>95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5" ht="22.5" customHeight="1" x14ac:dyDescent="0.25">
      <c r="A11" s="41" t="s">
        <v>80</v>
      </c>
      <c r="B11" s="41"/>
      <c r="C11" s="56" t="s">
        <v>49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5" ht="22.5" customHeight="1" x14ac:dyDescent="0.25">
      <c r="A12" s="41" t="s">
        <v>81</v>
      </c>
      <c r="B12" s="41"/>
      <c r="C12" s="56" t="s">
        <v>82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5" ht="22.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5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5" ht="22.5" customHeight="1" x14ac:dyDescent="0.2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</row>
    <row r="16" spans="1:25" ht="18.75" x14ac:dyDescent="0.25">
      <c r="A16" s="57" t="s">
        <v>35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8"/>
    </row>
    <row r="17" spans="1:25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0.29166666666666669</v>
      </c>
      <c r="J23" s="15">
        <v>0.64583333333333337</v>
      </c>
      <c r="K23" s="17" t="s">
        <v>11</v>
      </c>
      <c r="L23" s="15">
        <v>0.29166666666666669</v>
      </c>
      <c r="M23" s="15">
        <v>0.64583333333333337</v>
      </c>
      <c r="N23" s="17" t="s">
        <v>11</v>
      </c>
      <c r="O23" s="15">
        <v>0.29166666666666669</v>
      </c>
      <c r="P23" s="15">
        <v>0.64583333333333337</v>
      </c>
      <c r="Q23" s="17" t="s">
        <v>11</v>
      </c>
      <c r="R23" s="15">
        <v>0.29166666666666669</v>
      </c>
      <c r="S23" s="15">
        <v>0.64583333333333337</v>
      </c>
      <c r="T23" s="17" t="s">
        <v>11</v>
      </c>
      <c r="U23" s="15">
        <v>0.29166666666666669</v>
      </c>
      <c r="V23" s="15">
        <v>0.4375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  <c r="Y24" s="9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3.4999999999999996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4" x14ac:dyDescent="0.25">
      <c r="A33" s="10" t="s">
        <v>25</v>
      </c>
      <c r="C33" s="68">
        <f>SUM(C29:W29)</f>
        <v>37.5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4" ht="15.75" thickBot="1" x14ac:dyDescent="0.3">
      <c r="X34" s="7"/>
    </row>
    <row r="35" spans="1:24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4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4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</row>
    <row r="38" spans="1:24" x14ac:dyDescent="0.25">
      <c r="A38" s="6" t="s">
        <v>9</v>
      </c>
      <c r="C38" s="18"/>
      <c r="D38" s="15"/>
      <c r="E38" s="17"/>
      <c r="F38" s="16"/>
      <c r="G38" s="15"/>
      <c r="H38" s="17"/>
      <c r="I38" s="15">
        <v>0.29166666666666669</v>
      </c>
      <c r="J38" s="15">
        <v>0.64583333333333337</v>
      </c>
      <c r="K38" s="17" t="s">
        <v>11</v>
      </c>
      <c r="L38" s="15">
        <v>0.29166666666666669</v>
      </c>
      <c r="M38" s="15">
        <v>0.64583333333333337</v>
      </c>
      <c r="N38" s="17" t="s">
        <v>11</v>
      </c>
      <c r="O38" s="15">
        <v>0.29166666666666669</v>
      </c>
      <c r="P38" s="15">
        <v>0.64583333333333337</v>
      </c>
      <c r="Q38" s="17" t="s">
        <v>11</v>
      </c>
      <c r="R38" s="15">
        <v>0.29166666666666669</v>
      </c>
      <c r="S38" s="15">
        <v>0.64583333333333337</v>
      </c>
      <c r="T38" s="17" t="s">
        <v>11</v>
      </c>
      <c r="U38" s="15">
        <v>0.29166666666666669</v>
      </c>
      <c r="V38" s="15">
        <v>0.4375</v>
      </c>
      <c r="W38" s="17" t="s">
        <v>11</v>
      </c>
      <c r="X38" s="7"/>
    </row>
    <row r="39" spans="1:24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4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4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4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4" x14ac:dyDescent="0.25">
      <c r="X43" s="7"/>
    </row>
    <row r="44" spans="1:24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3.4999999999999996</v>
      </c>
      <c r="V44" s="63"/>
      <c r="W44" s="64"/>
      <c r="X44" s="7"/>
    </row>
    <row r="45" spans="1:24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4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4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4" x14ac:dyDescent="0.25">
      <c r="A48" s="10" t="s">
        <v>24</v>
      </c>
      <c r="C48" s="68">
        <f>SUM(C44:W44)</f>
        <v>37.5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9:T29"/>
    <mergeCell ref="U29:W29"/>
    <mergeCell ref="C21:E21"/>
    <mergeCell ref="F21:H21"/>
    <mergeCell ref="I21:K21"/>
    <mergeCell ref="L21:N21"/>
    <mergeCell ref="O21:Q21"/>
    <mergeCell ref="C29:E29"/>
    <mergeCell ref="F29:H29"/>
    <mergeCell ref="I29:K29"/>
    <mergeCell ref="L29:N29"/>
    <mergeCell ref="O29:Q29"/>
    <mergeCell ref="A17:A18"/>
    <mergeCell ref="B17:B18"/>
    <mergeCell ref="C17:X18"/>
    <mergeCell ref="C20:W20"/>
    <mergeCell ref="R21:T21"/>
    <mergeCell ref="U21:W21"/>
    <mergeCell ref="C1:X1"/>
    <mergeCell ref="C2:X2"/>
    <mergeCell ref="C3:X3"/>
    <mergeCell ref="C4:X4"/>
    <mergeCell ref="C5:X5"/>
    <mergeCell ref="C12:X12"/>
    <mergeCell ref="C13:X13"/>
    <mergeCell ref="A16:X16"/>
    <mergeCell ref="C6:X6"/>
    <mergeCell ref="C7:X7"/>
    <mergeCell ref="C9:X9"/>
    <mergeCell ref="C10:X10"/>
    <mergeCell ref="C11:X11"/>
    <mergeCell ref="C14:X14"/>
    <mergeCell ref="C8:X8"/>
  </mergeCells>
  <conditionalFormatting sqref="C50:E50">
    <cfRule type="expression" dxfId="1377" priority="48">
      <formula>C50=TRUE</formula>
    </cfRule>
    <cfRule type="expression" dxfId="1376" priority="47">
      <formula>C50=FALSE</formula>
    </cfRule>
  </conditionalFormatting>
  <conditionalFormatting sqref="C30:W30">
    <cfRule type="expression" dxfId="1375" priority="52">
      <formula>C30=TRUE</formula>
    </cfRule>
    <cfRule type="expression" dxfId="1374" priority="51">
      <formula>C30=FALSE</formula>
    </cfRule>
  </conditionalFormatting>
  <conditionalFormatting sqref="C45:W45">
    <cfRule type="expression" dxfId="1373" priority="50">
      <formula>C45=TRUE</formula>
    </cfRule>
    <cfRule type="expression" dxfId="1372" priority="49">
      <formula>C45=FALSE</formula>
    </cfRule>
  </conditionalFormatting>
  <conditionalFormatting sqref="E23:E27">
    <cfRule type="containsText" dxfId="1371" priority="46" operator="containsText" text="Office">
      <formula>NOT(ISERROR(SEARCH("Office",E23)))</formula>
    </cfRule>
    <cfRule type="containsText" dxfId="1370" priority="45" operator="containsText" text="Remote">
      <formula>NOT(ISERROR(SEARCH("Remote",E23)))</formula>
    </cfRule>
  </conditionalFormatting>
  <conditionalFormatting sqref="E38:E42">
    <cfRule type="containsText" dxfId="1369" priority="32" operator="containsText" text="Office">
      <formula>NOT(ISERROR(SEARCH("Office",E38)))</formula>
    </cfRule>
    <cfRule type="containsText" dxfId="1368" priority="31" operator="containsText" text="Remote">
      <formula>NOT(ISERROR(SEARCH("Remote",E38)))</formula>
    </cfRule>
  </conditionalFormatting>
  <conditionalFormatting sqref="H23:H27">
    <cfRule type="containsText" dxfId="1367" priority="44" operator="containsText" text="Office">
      <formula>NOT(ISERROR(SEARCH("Office",H23)))</formula>
    </cfRule>
    <cfRule type="containsText" dxfId="1366" priority="43" operator="containsText" text="Remote">
      <formula>NOT(ISERROR(SEARCH("Remote",H23)))</formula>
    </cfRule>
  </conditionalFormatting>
  <conditionalFormatting sqref="H38:H42">
    <cfRule type="containsText" dxfId="1365" priority="30" operator="containsText" text="Office">
      <formula>NOT(ISERROR(SEARCH("Office",H38)))</formula>
    </cfRule>
    <cfRule type="containsText" dxfId="1364" priority="29" operator="containsText" text="Remote">
      <formula>NOT(ISERROR(SEARCH("Remote",H38)))</formula>
    </cfRule>
  </conditionalFormatting>
  <conditionalFormatting sqref="I31:T31">
    <cfRule type="expression" dxfId="1363" priority="55">
      <formula>I31=FALSE</formula>
    </cfRule>
    <cfRule type="expression" dxfId="1362" priority="56">
      <formula>I31=TRUE</formula>
    </cfRule>
  </conditionalFormatting>
  <conditionalFormatting sqref="I46:T46">
    <cfRule type="expression" dxfId="1361" priority="53">
      <formula>I46=FALSE</formula>
    </cfRule>
    <cfRule type="expression" dxfId="1360" priority="54">
      <formula>I46=TRUE</formula>
    </cfRule>
  </conditionalFormatting>
  <conditionalFormatting sqref="K23:K27">
    <cfRule type="containsText" dxfId="1359" priority="41" operator="containsText" text="Remote">
      <formula>NOT(ISERROR(SEARCH("Remote",K23)))</formula>
    </cfRule>
    <cfRule type="containsText" dxfId="1358" priority="42" operator="containsText" text="Office">
      <formula>NOT(ISERROR(SEARCH("Office",K23)))</formula>
    </cfRule>
  </conditionalFormatting>
  <conditionalFormatting sqref="K38:K42">
    <cfRule type="containsText" dxfId="1357" priority="10" operator="containsText" text="Office">
      <formula>NOT(ISERROR(SEARCH("Office",K38)))</formula>
    </cfRule>
    <cfRule type="containsText" dxfId="1356" priority="9" operator="containsText" text="Remote">
      <formula>NOT(ISERROR(SEARCH("Remote",K38)))</formula>
    </cfRule>
  </conditionalFormatting>
  <conditionalFormatting sqref="N23:N27">
    <cfRule type="containsText" dxfId="1355" priority="17" operator="containsText" text="Remote">
      <formula>NOT(ISERROR(SEARCH("Remote",N23)))</formula>
    </cfRule>
    <cfRule type="containsText" dxfId="1354" priority="18" operator="containsText" text="Office">
      <formula>NOT(ISERROR(SEARCH("Office",N23)))</formula>
    </cfRule>
  </conditionalFormatting>
  <conditionalFormatting sqref="N38:N42">
    <cfRule type="containsText" dxfId="1353" priority="8" operator="containsText" text="Office">
      <formula>NOT(ISERROR(SEARCH("Office",N38)))</formula>
    </cfRule>
    <cfRule type="containsText" dxfId="1352" priority="7" operator="containsText" text="Remote">
      <formula>NOT(ISERROR(SEARCH("Remote",N38)))</formula>
    </cfRule>
  </conditionalFormatting>
  <conditionalFormatting sqref="Q23:Q27">
    <cfRule type="containsText" dxfId="1351" priority="16" operator="containsText" text="Office">
      <formula>NOT(ISERROR(SEARCH("Office",Q23)))</formula>
    </cfRule>
    <cfRule type="containsText" dxfId="1350" priority="15" operator="containsText" text="Remote">
      <formula>NOT(ISERROR(SEARCH("Remote",Q23)))</formula>
    </cfRule>
  </conditionalFormatting>
  <conditionalFormatting sqref="Q38:Q42">
    <cfRule type="containsText" dxfId="1349" priority="5" operator="containsText" text="Remote">
      <formula>NOT(ISERROR(SEARCH("Remote",Q38)))</formula>
    </cfRule>
    <cfRule type="containsText" dxfId="1348" priority="6" operator="containsText" text="Office">
      <formula>NOT(ISERROR(SEARCH("Office",Q38)))</formula>
    </cfRule>
  </conditionalFormatting>
  <conditionalFormatting sqref="T23:T27">
    <cfRule type="containsText" dxfId="1347" priority="14" operator="containsText" text="Office">
      <formula>NOT(ISERROR(SEARCH("Office",T23)))</formula>
    </cfRule>
    <cfRule type="containsText" dxfId="1346" priority="13" operator="containsText" text="Remote">
      <formula>NOT(ISERROR(SEARCH("Remote",T23)))</formula>
    </cfRule>
  </conditionalFormatting>
  <conditionalFormatting sqref="T38:T42">
    <cfRule type="containsText" dxfId="1345" priority="3" operator="containsText" text="Remote">
      <formula>NOT(ISERROR(SEARCH("Remote",T38)))</formula>
    </cfRule>
    <cfRule type="containsText" dxfId="1344" priority="4" operator="containsText" text="Office">
      <formula>NOT(ISERROR(SEARCH("Office",T38)))</formula>
    </cfRule>
  </conditionalFormatting>
  <conditionalFormatting sqref="W23:W27">
    <cfRule type="containsText" dxfId="1343" priority="12" operator="containsText" text="Office">
      <formula>NOT(ISERROR(SEARCH("Office",W23)))</formula>
    </cfRule>
    <cfRule type="containsText" dxfId="1342" priority="11" operator="containsText" text="Remote">
      <formula>NOT(ISERROR(SEARCH("Remote",W23)))</formula>
    </cfRule>
  </conditionalFormatting>
  <conditionalFormatting sqref="W38:W42">
    <cfRule type="containsText" dxfId="1341" priority="2" operator="containsText" text="Office">
      <formula>NOT(ISERROR(SEARCH("Office",W38)))</formula>
    </cfRule>
    <cfRule type="containsText" dxfId="1340" priority="1" operator="containsText" text="Remote">
      <formula>NOT(ISERROR(SEARCH("Remote",W38)))</formula>
    </cfRule>
  </conditionalFormatting>
  <dataValidations count="1">
    <dataValidation type="list" allowBlank="1" showInputMessage="1" showErrorMessage="1" sqref="N23:N27 N38:N42 E23:E27 Q23:Q27 H23:H27 K23:K27 Q38:Q42 T23:T27 T38:T42 E38:E42 K38:K42 H38:H42 W38:X42 Y25:Y29 W23:X27 Y10:Y14" xr:uid="{FFE5DE0B-E705-4663-8A7A-3DA0D10F6860}">
      <formula1>"Remote, Office"</formula1>
    </dataValidation>
  </dataValidations>
  <hyperlinks>
    <hyperlink ref="C7" r:id="rId1" display="mailto:mbaker@tms.org" xr:uid="{060BC744-D5C3-498C-8056-2BEB7A57277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FEED815E-1F75-4A7D-9466-8AF533F86239}">
          <x14:formula1>
            <xm:f>FormTools!$A$1:$A$48</xm:f>
          </x14:formula1>
          <xm:sqref>R23:S27 C23:D27 F23:G27 I23:J27 U38:V42 L23:M27 O23:P27 I38:J42 C38:D42 F38:G42 L38:M42 O38:P42 U23:V27 R38:S42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DFE7-A9DC-4A1F-8879-60D96AF3622D}">
  <sheetPr codeName="Sheet6"/>
  <dimension ref="A1:Y52"/>
  <sheetViews>
    <sheetView topLeftCell="A18" zoomScale="90" zoomScaleNormal="90" workbookViewId="0">
      <selection activeCell="C5" sqref="C5:X5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99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100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101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70" t="s">
        <v>102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</row>
    <row r="5" spans="1:24" ht="22.5" customHeight="1" x14ac:dyDescent="0.25">
      <c r="A5" s="41" t="s">
        <v>79</v>
      </c>
      <c r="B5" s="41"/>
      <c r="C5" s="56" t="s">
        <v>103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104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224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342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105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106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82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30.7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0.29166666666666669</v>
      </c>
      <c r="J23" s="15">
        <v>0.3125</v>
      </c>
      <c r="K23" s="17" t="s">
        <v>11</v>
      </c>
      <c r="L23" s="15">
        <v>0.29166666666666669</v>
      </c>
      <c r="M23" s="15">
        <v>0.3125</v>
      </c>
      <c r="N23" s="17" t="s">
        <v>11</v>
      </c>
      <c r="O23" s="15">
        <v>0.29166666666666669</v>
      </c>
      <c r="P23" s="15">
        <v>0.3125</v>
      </c>
      <c r="Q23" s="17" t="s">
        <v>11</v>
      </c>
      <c r="R23" s="15">
        <v>0.29166666666666669</v>
      </c>
      <c r="S23" s="15">
        <v>0.3125</v>
      </c>
      <c r="T23" s="17" t="s">
        <v>11</v>
      </c>
      <c r="U23" s="15">
        <v>0.33333333333333331</v>
      </c>
      <c r="V23" s="15">
        <v>0.625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0.33333333333333331</v>
      </c>
      <c r="J24" s="15">
        <v>0.64583333333333337</v>
      </c>
      <c r="K24" s="17" t="s">
        <v>11</v>
      </c>
      <c r="L24" s="15">
        <v>0.33333333333333331</v>
      </c>
      <c r="M24" s="15">
        <v>0.64583333333333337</v>
      </c>
      <c r="N24" s="17" t="s">
        <v>11</v>
      </c>
      <c r="O24" s="15">
        <v>0.33333333333333331</v>
      </c>
      <c r="P24" s="15">
        <v>0.64583333333333337</v>
      </c>
      <c r="Q24" s="17" t="s">
        <v>11</v>
      </c>
      <c r="R24" s="15">
        <v>0.33333333333333331</v>
      </c>
      <c r="S24" s="15">
        <v>0.64583333333333337</v>
      </c>
      <c r="T24" s="17" t="s">
        <v>11</v>
      </c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>
        <v>0.875</v>
      </c>
      <c r="J25" s="15">
        <v>0.91666666666666663</v>
      </c>
      <c r="K25" s="17" t="s">
        <v>11</v>
      </c>
      <c r="L25" s="15"/>
      <c r="M25" s="15"/>
      <c r="N25" s="17" t="s">
        <v>11</v>
      </c>
      <c r="O25" s="15"/>
      <c r="P25" s="15"/>
      <c r="Q25" s="17"/>
      <c r="R25" s="15">
        <v>0.875</v>
      </c>
      <c r="S25" s="15">
        <v>0.91666666666666663</v>
      </c>
      <c r="T25" s="17" t="s">
        <v>11</v>
      </c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9</v>
      </c>
      <c r="J29" s="63"/>
      <c r="K29" s="64"/>
      <c r="L29" s="62" cm="1">
        <f t="array" ref="L29">SUM((M23:M27-L23:L27)*24)</f>
        <v>8.0000000000000018</v>
      </c>
      <c r="M29" s="63"/>
      <c r="N29" s="64"/>
      <c r="O29" s="62" cm="1">
        <f t="array" ref="O29">SUM((P23:P27-O23:O27)*24)</f>
        <v>8.0000000000000018</v>
      </c>
      <c r="P29" s="63"/>
      <c r="Q29" s="64"/>
      <c r="R29" s="62" cm="1">
        <f t="array" ref="R29">SUM((S23:S27-R23:R27)*24)</f>
        <v>9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0.29166666666666669</v>
      </c>
      <c r="J38" s="15">
        <v>0.3125</v>
      </c>
      <c r="K38" s="17" t="s">
        <v>11</v>
      </c>
      <c r="L38" s="15">
        <v>0.29166666666666669</v>
      </c>
      <c r="M38" s="15">
        <v>0.3125</v>
      </c>
      <c r="N38" s="17" t="s">
        <v>11</v>
      </c>
      <c r="O38" s="15">
        <v>0.29166666666666669</v>
      </c>
      <c r="P38" s="15">
        <v>0.3125</v>
      </c>
      <c r="Q38" s="17" t="s">
        <v>11</v>
      </c>
      <c r="R38" s="15">
        <v>0.29166666666666669</v>
      </c>
      <c r="S38" s="15">
        <v>0.3125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0.33333333333333331</v>
      </c>
      <c r="J39" s="15">
        <v>0.64583333333333337</v>
      </c>
      <c r="K39" s="17" t="s">
        <v>11</v>
      </c>
      <c r="L39" s="15">
        <v>0.33333333333333331</v>
      </c>
      <c r="M39" s="15">
        <v>0.64583333333333337</v>
      </c>
      <c r="N39" s="17" t="s">
        <v>11</v>
      </c>
      <c r="O39" s="15">
        <v>0.33333333333333331</v>
      </c>
      <c r="P39" s="15">
        <v>0.64583333333333337</v>
      </c>
      <c r="Q39" s="17" t="s">
        <v>11</v>
      </c>
      <c r="R39" s="15">
        <v>0.33333333333333331</v>
      </c>
      <c r="S39" s="15">
        <v>0.64583333333333337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>
        <v>0.91666666666666663</v>
      </c>
      <c r="J40" s="15">
        <v>0.95833333333333337</v>
      </c>
      <c r="K40" s="17" t="s">
        <v>11</v>
      </c>
      <c r="L40" s="15"/>
      <c r="M40" s="15"/>
      <c r="N40" s="17" t="s">
        <v>11</v>
      </c>
      <c r="O40" s="15"/>
      <c r="P40" s="15"/>
      <c r="Q40" s="17"/>
      <c r="R40" s="15">
        <v>0.875</v>
      </c>
      <c r="S40" s="15">
        <v>0.91666666666666663</v>
      </c>
      <c r="T40" s="17" t="s">
        <v>11</v>
      </c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9.0000000000000036</v>
      </c>
      <c r="J44" s="63"/>
      <c r="K44" s="64"/>
      <c r="L44" s="62" cm="1">
        <f t="array" ref="L44">SUM((M38:M42-L38:L42)*24)</f>
        <v>8.0000000000000018</v>
      </c>
      <c r="M44" s="63"/>
      <c r="N44" s="64"/>
      <c r="O44" s="62" cm="1">
        <f t="array" ref="O44">SUM((P38:P42-O38:O42)*24)</f>
        <v>8.0000000000000018</v>
      </c>
      <c r="P44" s="63"/>
      <c r="Q44" s="64"/>
      <c r="R44" s="62" cm="1">
        <f t="array" ref="R44">SUM((S38:S42-R38:R42)*24)</f>
        <v>9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34.000000000000007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339" priority="60">
      <formula>C50=TRUE</formula>
    </cfRule>
    <cfRule type="expression" dxfId="1338" priority="59">
      <formula>C50=FALSE</formula>
    </cfRule>
  </conditionalFormatting>
  <conditionalFormatting sqref="C30:W30">
    <cfRule type="expression" dxfId="1337" priority="64">
      <formula>C30=TRUE</formula>
    </cfRule>
    <cfRule type="expression" dxfId="1336" priority="63">
      <formula>C30=FALSE</formula>
    </cfRule>
  </conditionalFormatting>
  <conditionalFormatting sqref="C45:W45">
    <cfRule type="expression" dxfId="1335" priority="61">
      <formula>C45=FALSE</formula>
    </cfRule>
    <cfRule type="expression" dxfId="1334" priority="62">
      <formula>C45=TRUE</formula>
    </cfRule>
  </conditionalFormatting>
  <conditionalFormatting sqref="E10:E14">
    <cfRule type="containsText" dxfId="1333" priority="13" operator="containsText" text="Remote">
      <formula>NOT(ISERROR(SEARCH("Remote",E10)))</formula>
    </cfRule>
    <cfRule type="containsText" dxfId="1332" priority="14" operator="containsText" text="Office">
      <formula>NOT(ISERROR(SEARCH("Office",E10)))</formula>
    </cfRule>
  </conditionalFormatting>
  <conditionalFormatting sqref="E23:E27">
    <cfRule type="containsText" dxfId="1331" priority="58" operator="containsText" text="Office">
      <formula>NOT(ISERROR(SEARCH("Office",E23)))</formula>
    </cfRule>
    <cfRule type="containsText" dxfId="1330" priority="57" operator="containsText" text="Remote">
      <formula>NOT(ISERROR(SEARCH("Remote",E23)))</formula>
    </cfRule>
  </conditionalFormatting>
  <conditionalFormatting sqref="E38:E42">
    <cfRule type="containsText" dxfId="1329" priority="43" operator="containsText" text="Remote">
      <formula>NOT(ISERROR(SEARCH("Remote",E38)))</formula>
    </cfRule>
    <cfRule type="containsText" dxfId="1328" priority="44" operator="containsText" text="Office">
      <formula>NOT(ISERROR(SEARCH("Office",E38)))</formula>
    </cfRule>
  </conditionalFormatting>
  <conditionalFormatting sqref="H10:H14">
    <cfRule type="containsText" dxfId="1327" priority="11" operator="containsText" text="Remote">
      <formula>NOT(ISERROR(SEARCH("Remote",H10)))</formula>
    </cfRule>
    <cfRule type="containsText" dxfId="1326" priority="12" operator="containsText" text="Office">
      <formula>NOT(ISERROR(SEARCH("Office",H10)))</formula>
    </cfRule>
  </conditionalFormatting>
  <conditionalFormatting sqref="H23:H27">
    <cfRule type="containsText" dxfId="1325" priority="56" operator="containsText" text="Office">
      <formula>NOT(ISERROR(SEARCH("Office",H23)))</formula>
    </cfRule>
    <cfRule type="containsText" dxfId="1324" priority="55" operator="containsText" text="Remote">
      <formula>NOT(ISERROR(SEARCH("Remote",H23)))</formula>
    </cfRule>
  </conditionalFormatting>
  <conditionalFormatting sqref="H38:H42">
    <cfRule type="containsText" dxfId="1323" priority="41" operator="containsText" text="Remote">
      <formula>NOT(ISERROR(SEARCH("Remote",H38)))</formula>
    </cfRule>
    <cfRule type="containsText" dxfId="1322" priority="42" operator="containsText" text="Office">
      <formula>NOT(ISERROR(SEARCH("Office",H38)))</formula>
    </cfRule>
  </conditionalFormatting>
  <conditionalFormatting sqref="I31:T31">
    <cfRule type="expression" dxfId="1321" priority="67">
      <formula>I31=FALSE</formula>
    </cfRule>
    <cfRule type="expression" dxfId="1320" priority="68">
      <formula>I31=TRUE</formula>
    </cfRule>
  </conditionalFormatting>
  <conditionalFormatting sqref="I46:T46">
    <cfRule type="expression" dxfId="1319" priority="66">
      <formula>I46=TRUE</formula>
    </cfRule>
    <cfRule type="expression" dxfId="1318" priority="65">
      <formula>I46=FALSE</formula>
    </cfRule>
  </conditionalFormatting>
  <conditionalFormatting sqref="K10:K14">
    <cfRule type="containsText" dxfId="1317" priority="9" operator="containsText" text="Remote">
      <formula>NOT(ISERROR(SEARCH("Remote",K10)))</formula>
    </cfRule>
    <cfRule type="containsText" dxfId="1316" priority="10" operator="containsText" text="Office">
      <formula>NOT(ISERROR(SEARCH("Office",K10)))</formula>
    </cfRule>
  </conditionalFormatting>
  <conditionalFormatting sqref="K23:K27">
    <cfRule type="containsText" dxfId="1315" priority="54" operator="containsText" text="Office">
      <formula>NOT(ISERROR(SEARCH("Office",K23)))</formula>
    </cfRule>
    <cfRule type="containsText" dxfId="1314" priority="53" operator="containsText" text="Remote">
      <formula>NOT(ISERROR(SEARCH("Remote",K23)))</formula>
    </cfRule>
  </conditionalFormatting>
  <conditionalFormatting sqref="K38:K42">
    <cfRule type="containsText" dxfId="1313" priority="23" operator="containsText" text="Remote">
      <formula>NOT(ISERROR(SEARCH("Remote",K38)))</formula>
    </cfRule>
    <cfRule type="containsText" dxfId="1312" priority="24" operator="containsText" text="Office">
      <formula>NOT(ISERROR(SEARCH("Office",K38)))</formula>
    </cfRule>
  </conditionalFormatting>
  <conditionalFormatting sqref="N10:N14">
    <cfRule type="containsText" dxfId="1311" priority="6" operator="containsText" text="Office">
      <formula>NOT(ISERROR(SEARCH("Office",N10)))</formula>
    </cfRule>
    <cfRule type="containsText" dxfId="1310" priority="5" operator="containsText" text="Remote">
      <formula>NOT(ISERROR(SEARCH("Remote",N10)))</formula>
    </cfRule>
  </conditionalFormatting>
  <conditionalFormatting sqref="N23:N27">
    <cfRule type="containsText" dxfId="1309" priority="29" operator="containsText" text="Remote">
      <formula>NOT(ISERROR(SEARCH("Remote",N23)))</formula>
    </cfRule>
    <cfRule type="containsText" dxfId="1308" priority="30" operator="containsText" text="Office">
      <formula>NOT(ISERROR(SEARCH("Office",N23)))</formula>
    </cfRule>
  </conditionalFormatting>
  <conditionalFormatting sqref="N38:N42">
    <cfRule type="containsText" dxfId="1307" priority="20" operator="containsText" text="Office">
      <formula>NOT(ISERROR(SEARCH("Office",N38)))</formula>
    </cfRule>
    <cfRule type="containsText" dxfId="1306" priority="19" operator="containsText" text="Remote">
      <formula>NOT(ISERROR(SEARCH("Remote",N38)))</formula>
    </cfRule>
  </conditionalFormatting>
  <conditionalFormatting sqref="Q10:Q14">
    <cfRule type="containsText" dxfId="1305" priority="4" operator="containsText" text="Office">
      <formula>NOT(ISERROR(SEARCH("Office",Q10)))</formula>
    </cfRule>
    <cfRule type="containsText" dxfId="1304" priority="3" operator="containsText" text="Remote">
      <formula>NOT(ISERROR(SEARCH("Remote",Q10)))</formula>
    </cfRule>
  </conditionalFormatting>
  <conditionalFormatting sqref="Q23:Q27">
    <cfRule type="containsText" dxfId="1303" priority="28" operator="containsText" text="Office">
      <formula>NOT(ISERROR(SEARCH("Office",Q23)))</formula>
    </cfRule>
    <cfRule type="containsText" dxfId="1302" priority="27" operator="containsText" text="Remote">
      <formula>NOT(ISERROR(SEARCH("Remote",Q23)))</formula>
    </cfRule>
  </conditionalFormatting>
  <conditionalFormatting sqref="Q38:Q42">
    <cfRule type="containsText" dxfId="1301" priority="18" operator="containsText" text="Office">
      <formula>NOT(ISERROR(SEARCH("Office",Q38)))</formula>
    </cfRule>
    <cfRule type="containsText" dxfId="1300" priority="17" operator="containsText" text="Remote">
      <formula>NOT(ISERROR(SEARCH("Remote",Q38)))</formula>
    </cfRule>
  </conditionalFormatting>
  <conditionalFormatting sqref="T10:T14">
    <cfRule type="containsText" dxfId="1299" priority="1" operator="containsText" text="Remote">
      <formula>NOT(ISERROR(SEARCH("Remote",T10)))</formula>
    </cfRule>
    <cfRule type="containsText" dxfId="1298" priority="2" operator="containsText" text="Office">
      <formula>NOT(ISERROR(SEARCH("Office",T10)))</formula>
    </cfRule>
  </conditionalFormatting>
  <conditionalFormatting sqref="T23:T27">
    <cfRule type="containsText" dxfId="1297" priority="26" operator="containsText" text="Office">
      <formula>NOT(ISERROR(SEARCH("Office",T23)))</formula>
    </cfRule>
    <cfRule type="containsText" dxfId="1296" priority="25" operator="containsText" text="Remote">
      <formula>NOT(ISERROR(SEARCH("Remote",T23)))</formula>
    </cfRule>
  </conditionalFormatting>
  <conditionalFormatting sqref="T38:T42">
    <cfRule type="containsText" dxfId="1295" priority="16" operator="containsText" text="Office">
      <formula>NOT(ISERROR(SEARCH("Office",T38)))</formula>
    </cfRule>
    <cfRule type="containsText" dxfId="1294" priority="15" operator="containsText" text="Remote">
      <formula>NOT(ISERROR(SEARCH("Remote",T38)))</formula>
    </cfRule>
  </conditionalFormatting>
  <conditionalFormatting sqref="W10:W14">
    <cfRule type="containsText" dxfId="1293" priority="7" operator="containsText" text="Remote">
      <formula>NOT(ISERROR(SEARCH("Remote",W10)))</formula>
    </cfRule>
    <cfRule type="containsText" dxfId="1292" priority="8" operator="containsText" text="Office">
      <formula>NOT(ISERROR(SEARCH("Office",W10)))</formula>
    </cfRule>
  </conditionalFormatting>
  <conditionalFormatting sqref="W23:W27">
    <cfRule type="containsText" dxfId="1291" priority="45" operator="containsText" text="Remote">
      <formula>NOT(ISERROR(SEARCH("Remote",W23)))</formula>
    </cfRule>
    <cfRule type="containsText" dxfId="1290" priority="46" operator="containsText" text="Office">
      <formula>NOT(ISERROR(SEARCH("Office",W23)))</formula>
    </cfRule>
  </conditionalFormatting>
  <conditionalFormatting sqref="W38:W42">
    <cfRule type="containsText" dxfId="1289" priority="31" operator="containsText" text="Remote">
      <formula>NOT(ISERROR(SEARCH("Remote",W38)))</formula>
    </cfRule>
    <cfRule type="containsText" dxfId="1288" priority="32" operator="containsText" text="Office">
      <formula>NOT(ISERROR(SEARCH("Office",W38)))</formula>
    </cfRule>
  </conditionalFormatting>
  <dataValidations count="2">
    <dataValidation type="list" allowBlank="1" showInputMessage="1" showErrorMessage="1" sqref="N23:N27 W38:Y42 E23:E27 Q23:Q27 H23:H27 K23:K27 Q38:Q42 W23:Y27 T38:T42 E38:E42 K38:K42 H38:H42 T23:T27 N38:N42" xr:uid="{66BE5C66-0B07-48B1-B177-24AE627817B7}">
      <formula1>"Remote, Office"</formula1>
    </dataValidation>
    <dataValidation type="list" allowBlank="1" showInputMessage="1" showErrorMessage="1" sqref="E10:E14 H10:H14 K10:K14 N10:N14 Q10:Q14 T10:T14 W10:Y14" xr:uid="{1AAFEE42-4548-422A-BC3E-8FFBD779AEA6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8AB46B8E-F664-43DA-9E12-BFB19993D9CD}">
          <x14:formula1>
            <xm:f>FormTools!$A$1:$A$48</xm:f>
          </x14:formula1>
          <xm:sqref>U23:V27 C23:D27 F23:G27 I23:J27 I38:J42 L23:M27 O23:P27 U38:V42 C38:D42 F38:G42 L38:M42 O38:P42 R23:S27 R38:S42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1387-632F-48D9-B9A0-6B4A0A8CDF45}">
  <sheetPr codeName="Sheet7"/>
  <dimension ref="A1:Y52"/>
  <sheetViews>
    <sheetView zoomScale="90" zoomScaleNormal="90" workbookViewId="0">
      <selection activeCell="F28" sqref="F2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1.75" customHeight="1" x14ac:dyDescent="0.25">
      <c r="A1" s="39" t="s">
        <v>30</v>
      </c>
      <c r="B1" s="40"/>
      <c r="C1" s="45" t="s">
        <v>107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1.75" customHeight="1" x14ac:dyDescent="0.25">
      <c r="A2" s="41" t="s">
        <v>31</v>
      </c>
      <c r="B2" s="41"/>
      <c r="C2" s="56" t="s">
        <v>108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1.75" customHeight="1" x14ac:dyDescent="0.25">
      <c r="A3" s="41" t="s">
        <v>29</v>
      </c>
      <c r="B3" s="41"/>
      <c r="C3" s="56" t="s">
        <v>109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1.75" customHeight="1" x14ac:dyDescent="0.25">
      <c r="A4" s="41" t="s">
        <v>96</v>
      </c>
      <c r="B4" s="41"/>
      <c r="C4" s="56" t="s">
        <v>110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1.75" customHeight="1" x14ac:dyDescent="0.25">
      <c r="A5" s="41" t="s">
        <v>79</v>
      </c>
      <c r="B5" s="41"/>
      <c r="C5" s="56" t="s">
        <v>111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1.75" customHeight="1" x14ac:dyDescent="0.25">
      <c r="A6" s="41" t="s">
        <v>72</v>
      </c>
      <c r="B6" s="41"/>
      <c r="C6" s="56" t="s">
        <v>112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1.75" customHeight="1" x14ac:dyDescent="0.25">
      <c r="A7" s="41" t="s">
        <v>78</v>
      </c>
      <c r="B7" s="41"/>
      <c r="C7" s="56">
        <v>219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341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1.75" customHeight="1" x14ac:dyDescent="0.25">
      <c r="A9" s="41" t="s">
        <v>77</v>
      </c>
      <c r="B9" s="41"/>
      <c r="C9" s="56" t="s">
        <v>113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1.75" customHeight="1" x14ac:dyDescent="0.25">
      <c r="A10" s="41" t="s">
        <v>76</v>
      </c>
      <c r="B10" s="41"/>
      <c r="C10" s="56" t="s">
        <v>114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1.75" customHeight="1" x14ac:dyDescent="0.25">
      <c r="A11" s="41" t="s">
        <v>80</v>
      </c>
      <c r="B11" s="41"/>
      <c r="C11" s="56" t="s">
        <v>40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1.75" customHeight="1" x14ac:dyDescent="0.25">
      <c r="A12" s="41" t="s">
        <v>81</v>
      </c>
      <c r="B12" s="41"/>
      <c r="C12" s="56" t="s">
        <v>115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1.7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1.7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1.7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18.75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0.3125</v>
      </c>
      <c r="J23" s="15">
        <v>0.375</v>
      </c>
      <c r="K23" s="17" t="s">
        <v>11</v>
      </c>
      <c r="L23" s="15">
        <v>0.3125</v>
      </c>
      <c r="M23" s="15">
        <v>0.4375</v>
      </c>
      <c r="N23" s="17" t="s">
        <v>11</v>
      </c>
      <c r="O23" s="15">
        <v>0.35416666666666669</v>
      </c>
      <c r="P23" s="15">
        <v>0.72916666666666663</v>
      </c>
      <c r="Q23" s="17" t="s">
        <v>23</v>
      </c>
      <c r="R23" s="15">
        <v>0.35416666666666669</v>
      </c>
      <c r="S23" s="15">
        <v>0.72916666666666663</v>
      </c>
      <c r="T23" s="17" t="s">
        <v>23</v>
      </c>
      <c r="U23" s="15">
        <v>0.3125</v>
      </c>
      <c r="V23" s="15">
        <v>0.375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0.4375</v>
      </c>
      <c r="J24" s="15">
        <v>0.72916666666666663</v>
      </c>
      <c r="K24" s="17" t="s">
        <v>11</v>
      </c>
      <c r="L24" s="15">
        <v>0.5</v>
      </c>
      <c r="M24" s="15">
        <v>0.72916666666666663</v>
      </c>
      <c r="N24" s="17" t="s">
        <v>11</v>
      </c>
      <c r="O24" s="15"/>
      <c r="P24" s="15"/>
      <c r="Q24" s="17"/>
      <c r="R24" s="15"/>
      <c r="S24" s="15"/>
      <c r="T24" s="17"/>
      <c r="U24" s="15">
        <v>0.5</v>
      </c>
      <c r="V24" s="15">
        <v>0.64583333333333337</v>
      </c>
      <c r="W24" s="17" t="s">
        <v>11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8.9999999999999982</v>
      </c>
      <c r="P29" s="63"/>
      <c r="Q29" s="64"/>
      <c r="R29" s="62" cm="1">
        <f t="array" ref="R29">SUM((S23:S27-R23:R27)*24)</f>
        <v>8.9999999999999982</v>
      </c>
      <c r="S29" s="63"/>
      <c r="T29" s="64"/>
      <c r="U29" s="62" cm="1">
        <f t="array" ref="U29">SUM((V23:V27-U23:U27)*24)</f>
        <v>5.0000000000000009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0.3125</v>
      </c>
      <c r="J38" s="15">
        <v>0.375</v>
      </c>
      <c r="K38" s="17" t="s">
        <v>11</v>
      </c>
      <c r="L38" s="15">
        <v>0.3125</v>
      </c>
      <c r="M38" s="15">
        <v>0.4375</v>
      </c>
      <c r="N38" s="17" t="s">
        <v>11</v>
      </c>
      <c r="O38" s="15">
        <v>0.35416666666666669</v>
      </c>
      <c r="P38" s="15">
        <v>0.72916666666666663</v>
      </c>
      <c r="Q38" s="17" t="s">
        <v>23</v>
      </c>
      <c r="R38" s="15">
        <v>0.35416666666666669</v>
      </c>
      <c r="S38" s="15">
        <v>0.72916666666666663</v>
      </c>
      <c r="T38" s="17" t="s">
        <v>23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0.4375</v>
      </c>
      <c r="J39" s="15">
        <v>0.72916666666666663</v>
      </c>
      <c r="K39" s="17" t="s">
        <v>11</v>
      </c>
      <c r="L39" s="15">
        <v>0.5</v>
      </c>
      <c r="M39" s="15">
        <v>0.72916666666666663</v>
      </c>
      <c r="N39" s="17" t="s">
        <v>11</v>
      </c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8.9999999999999982</v>
      </c>
      <c r="P44" s="63"/>
      <c r="Q44" s="64"/>
      <c r="R44" s="62" cm="1">
        <f t="array" ref="R44">SUM((S38:S42-R38:R42)*24)</f>
        <v>8.9999999999999982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35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287" priority="58">
      <formula>C50=TRUE</formula>
    </cfRule>
    <cfRule type="expression" dxfId="1286" priority="57">
      <formula>C50=FALSE</formula>
    </cfRule>
  </conditionalFormatting>
  <conditionalFormatting sqref="C30:W30">
    <cfRule type="expression" dxfId="1285" priority="62">
      <formula>C30=TRUE</formula>
    </cfRule>
    <cfRule type="expression" dxfId="1284" priority="61">
      <formula>C30=FALSE</formula>
    </cfRule>
  </conditionalFormatting>
  <conditionalFormatting sqref="C45:W45">
    <cfRule type="expression" dxfId="1283" priority="59">
      <formula>C45=FALSE</formula>
    </cfRule>
    <cfRule type="expression" dxfId="1282" priority="60">
      <formula>C45=TRUE</formula>
    </cfRule>
  </conditionalFormatting>
  <conditionalFormatting sqref="E10:E14">
    <cfRule type="containsText" dxfId="1281" priority="13" operator="containsText" text="Remote">
      <formula>NOT(ISERROR(SEARCH("Remote",E10)))</formula>
    </cfRule>
    <cfRule type="containsText" dxfId="1280" priority="14" operator="containsText" text="Office">
      <formula>NOT(ISERROR(SEARCH("Office",E10)))</formula>
    </cfRule>
  </conditionalFormatting>
  <conditionalFormatting sqref="E23:E27">
    <cfRule type="containsText" dxfId="1279" priority="56" operator="containsText" text="Office">
      <formula>NOT(ISERROR(SEARCH("Office",E23)))</formula>
    </cfRule>
    <cfRule type="containsText" dxfId="1278" priority="55" operator="containsText" text="Remote">
      <formula>NOT(ISERROR(SEARCH("Remote",E23)))</formula>
    </cfRule>
  </conditionalFormatting>
  <conditionalFormatting sqref="E38:E42">
    <cfRule type="containsText" dxfId="1277" priority="42" operator="containsText" text="Office">
      <formula>NOT(ISERROR(SEARCH("Office",E38)))</formula>
    </cfRule>
    <cfRule type="containsText" dxfId="1276" priority="41" operator="containsText" text="Remote">
      <formula>NOT(ISERROR(SEARCH("Remote",E38)))</formula>
    </cfRule>
  </conditionalFormatting>
  <conditionalFormatting sqref="H10:H14">
    <cfRule type="containsText" dxfId="1275" priority="11" operator="containsText" text="Remote">
      <formula>NOT(ISERROR(SEARCH("Remote",H10)))</formula>
    </cfRule>
    <cfRule type="containsText" dxfId="1274" priority="12" operator="containsText" text="Office">
      <formula>NOT(ISERROR(SEARCH("Office",H10)))</formula>
    </cfRule>
  </conditionalFormatting>
  <conditionalFormatting sqref="H23:H27">
    <cfRule type="containsText" dxfId="1273" priority="54" operator="containsText" text="Office">
      <formula>NOT(ISERROR(SEARCH("Office",H23)))</formula>
    </cfRule>
    <cfRule type="containsText" dxfId="1272" priority="53" operator="containsText" text="Remote">
      <formula>NOT(ISERROR(SEARCH("Remote",H23)))</formula>
    </cfRule>
  </conditionalFormatting>
  <conditionalFormatting sqref="H38:H42">
    <cfRule type="containsText" dxfId="1271" priority="39" operator="containsText" text="Remote">
      <formula>NOT(ISERROR(SEARCH("Remote",H38)))</formula>
    </cfRule>
    <cfRule type="containsText" dxfId="1270" priority="40" operator="containsText" text="Office">
      <formula>NOT(ISERROR(SEARCH("Office",H38)))</formula>
    </cfRule>
  </conditionalFormatting>
  <conditionalFormatting sqref="I31:T31">
    <cfRule type="expression" dxfId="1269" priority="65">
      <formula>I31=FALSE</formula>
    </cfRule>
    <cfRule type="expression" dxfId="1268" priority="66">
      <formula>I31=TRUE</formula>
    </cfRule>
  </conditionalFormatting>
  <conditionalFormatting sqref="I46:T46">
    <cfRule type="expression" dxfId="1267" priority="63">
      <formula>I46=FALSE</formula>
    </cfRule>
    <cfRule type="expression" dxfId="1266" priority="64">
      <formula>I46=TRUE</formula>
    </cfRule>
  </conditionalFormatting>
  <conditionalFormatting sqref="K10:K14">
    <cfRule type="containsText" dxfId="1265" priority="9" operator="containsText" text="Remote">
      <formula>NOT(ISERROR(SEARCH("Remote",K10)))</formula>
    </cfRule>
    <cfRule type="containsText" dxfId="1264" priority="10" operator="containsText" text="Office">
      <formula>NOT(ISERROR(SEARCH("Office",K10)))</formula>
    </cfRule>
  </conditionalFormatting>
  <conditionalFormatting sqref="K23:K27">
    <cfRule type="containsText" dxfId="1263" priority="52" operator="containsText" text="Office">
      <formula>NOT(ISERROR(SEARCH("Office",K23)))</formula>
    </cfRule>
    <cfRule type="containsText" dxfId="1262" priority="51" operator="containsText" text="Remote">
      <formula>NOT(ISERROR(SEARCH("Remote",K23)))</formula>
    </cfRule>
  </conditionalFormatting>
  <conditionalFormatting sqref="K38:K42">
    <cfRule type="containsText" dxfId="1261" priority="23" operator="containsText" text="Remote">
      <formula>NOT(ISERROR(SEARCH("Remote",K38)))</formula>
    </cfRule>
    <cfRule type="containsText" dxfId="1260" priority="24" operator="containsText" text="Office">
      <formula>NOT(ISERROR(SEARCH("Office",K38)))</formula>
    </cfRule>
  </conditionalFormatting>
  <conditionalFormatting sqref="N10:N14">
    <cfRule type="containsText" dxfId="1259" priority="7" operator="containsText" text="Remote">
      <formula>NOT(ISERROR(SEARCH("Remote",N10)))</formula>
    </cfRule>
    <cfRule type="containsText" dxfId="1258" priority="8" operator="containsText" text="Office">
      <formula>NOT(ISERROR(SEARCH("Office",N10)))</formula>
    </cfRule>
  </conditionalFormatting>
  <conditionalFormatting sqref="N23:N27">
    <cfRule type="containsText" dxfId="1257" priority="49" operator="containsText" text="Remote">
      <formula>NOT(ISERROR(SEARCH("Remote",N23)))</formula>
    </cfRule>
    <cfRule type="containsText" dxfId="1256" priority="50" operator="containsText" text="Office">
      <formula>NOT(ISERROR(SEARCH("Office",N23)))</formula>
    </cfRule>
  </conditionalFormatting>
  <conditionalFormatting sqref="N38:N42">
    <cfRule type="containsText" dxfId="1255" priority="22" operator="containsText" text="Office">
      <formula>NOT(ISERROR(SEARCH("Office",N38)))</formula>
    </cfRule>
    <cfRule type="containsText" dxfId="1254" priority="21" operator="containsText" text="Remote">
      <formula>NOT(ISERROR(SEARCH("Remote",N38)))</formula>
    </cfRule>
  </conditionalFormatting>
  <conditionalFormatting sqref="Q10:Q14">
    <cfRule type="containsText" dxfId="1253" priority="1" operator="containsText" text="Remote">
      <formula>NOT(ISERROR(SEARCH("Remote",Q10)))</formula>
    </cfRule>
    <cfRule type="containsText" dxfId="1252" priority="2" operator="containsText" text="Office">
      <formula>NOT(ISERROR(SEARCH("Office",Q10)))</formula>
    </cfRule>
  </conditionalFormatting>
  <conditionalFormatting sqref="Q23:Q27">
    <cfRule type="containsText" dxfId="1251" priority="26" operator="containsText" text="Office">
      <formula>NOT(ISERROR(SEARCH("Office",Q23)))</formula>
    </cfRule>
    <cfRule type="containsText" dxfId="1250" priority="25" operator="containsText" text="Remote">
      <formula>NOT(ISERROR(SEARCH("Remote",Q23)))</formula>
    </cfRule>
  </conditionalFormatting>
  <conditionalFormatting sqref="Q38:Q42">
    <cfRule type="containsText" dxfId="1249" priority="16" operator="containsText" text="Office">
      <formula>NOT(ISERROR(SEARCH("Office",Q38)))</formula>
    </cfRule>
    <cfRule type="containsText" dxfId="1248" priority="15" operator="containsText" text="Remote">
      <formula>NOT(ISERROR(SEARCH("Remote",Q38)))</formula>
    </cfRule>
  </conditionalFormatting>
  <conditionalFormatting sqref="T10:T14">
    <cfRule type="containsText" dxfId="1247" priority="4" operator="containsText" text="Office">
      <formula>NOT(ISERROR(SEARCH("Office",T10)))</formula>
    </cfRule>
    <cfRule type="containsText" dxfId="1246" priority="3" operator="containsText" text="Remote">
      <formula>NOT(ISERROR(SEARCH("Remote",T10)))</formula>
    </cfRule>
  </conditionalFormatting>
  <conditionalFormatting sqref="T23:T27">
    <cfRule type="containsText" dxfId="1245" priority="28" operator="containsText" text="Office">
      <formula>NOT(ISERROR(SEARCH("Office",T23)))</formula>
    </cfRule>
    <cfRule type="containsText" dxfId="1244" priority="27" operator="containsText" text="Remote">
      <formula>NOT(ISERROR(SEARCH("Remote",T23)))</formula>
    </cfRule>
  </conditionalFormatting>
  <conditionalFormatting sqref="T38:T42">
    <cfRule type="containsText" dxfId="1243" priority="18" operator="containsText" text="Office">
      <formula>NOT(ISERROR(SEARCH("Office",T38)))</formula>
    </cfRule>
    <cfRule type="containsText" dxfId="1242" priority="17" operator="containsText" text="Remote">
      <formula>NOT(ISERROR(SEARCH("Remote",T38)))</formula>
    </cfRule>
  </conditionalFormatting>
  <conditionalFormatting sqref="W10:W14">
    <cfRule type="containsText" dxfId="1241" priority="6" operator="containsText" text="Office">
      <formula>NOT(ISERROR(SEARCH("Office",W10)))</formula>
    </cfRule>
    <cfRule type="containsText" dxfId="1240" priority="5" operator="containsText" text="Remote">
      <formula>NOT(ISERROR(SEARCH("Remote",W10)))</formula>
    </cfRule>
  </conditionalFormatting>
  <conditionalFormatting sqref="W23:W27">
    <cfRule type="containsText" dxfId="1239" priority="44" operator="containsText" text="Office">
      <formula>NOT(ISERROR(SEARCH("Office",W23)))</formula>
    </cfRule>
    <cfRule type="containsText" dxfId="1238" priority="43" operator="containsText" text="Remote">
      <formula>NOT(ISERROR(SEARCH("Remote",W23)))</formula>
    </cfRule>
  </conditionalFormatting>
  <conditionalFormatting sqref="W38:W42">
    <cfRule type="containsText" dxfId="1237" priority="29" operator="containsText" text="Remote">
      <formula>NOT(ISERROR(SEARCH("Remote",W38)))</formula>
    </cfRule>
    <cfRule type="containsText" dxfId="1236" priority="30" operator="containsText" text="Office">
      <formula>NOT(ISERROR(SEARCH("Office",W38)))</formula>
    </cfRule>
  </conditionalFormatting>
  <dataValidations count="2">
    <dataValidation type="list" allowBlank="1" showInputMessage="1" showErrorMessage="1" sqref="T23:T27 W38:Y42 E23:E27 Q38:Q42 H23:H27 K23:K27 N23:N27 N38:N42 T38:T42 E38:E42 K38:K42 H38:H42 Q23:Q27 W23:Y27" xr:uid="{71DAEAA0-6AB7-4D48-A406-F49B6CC6657A}">
      <formula1>"Remote, Office"</formula1>
    </dataValidation>
    <dataValidation type="list" allowBlank="1" showInputMessage="1" showErrorMessage="1" sqref="E10:E14 H10:H14 K10:K14 N10:N14 Q10:Q14 T10:T14 W10:X14" xr:uid="{CA02E1BF-0B1B-4CBB-8888-73A92707D31E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F46421D2-4960-4068-82AC-6E649244C188}">
          <x14:formula1>
            <xm:f>FormTools!$A$1:$A$48</xm:f>
          </x14:formula1>
          <xm:sqref>R38:S42 C23:D27 F23:G27 I23:J27 L23:M27 R23:S27 I38:J42 U38:V42 C38:D42 F38:G42 L38:M42 O38:P42 O23:P27 U23:V27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3746-305D-40C7-A7D8-F52C2CAEB37D}">
  <dimension ref="A1:Y52"/>
  <sheetViews>
    <sheetView zoomScale="90" zoomScaleNormal="90" workbookViewId="0">
      <selection activeCell="C4" sqref="C4:X4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308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309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314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70" t="s">
        <v>345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</row>
    <row r="5" spans="1:24" ht="22.5" customHeight="1" x14ac:dyDescent="0.25">
      <c r="A5" s="41" t="s">
        <v>79</v>
      </c>
      <c r="B5" s="41"/>
      <c r="C5" s="56" t="s">
        <v>310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311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231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340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9" t="s">
        <v>312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6"/>
    </row>
    <row r="10" spans="1:24" ht="22.5" customHeight="1" x14ac:dyDescent="0.25">
      <c r="A10" s="41" t="s">
        <v>76</v>
      </c>
      <c r="B10" s="41"/>
      <c r="C10" s="56" t="s">
        <v>313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245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23</v>
      </c>
      <c r="L23" s="15">
        <v>0.33333333333333331</v>
      </c>
      <c r="M23" s="15">
        <v>0.5</v>
      </c>
      <c r="N23" s="17" t="s">
        <v>23</v>
      </c>
      <c r="O23" s="15">
        <v>0.33333333333333331</v>
      </c>
      <c r="P23" s="15">
        <v>0.5</v>
      </c>
      <c r="Q23" s="17" t="s">
        <v>23</v>
      </c>
      <c r="R23" s="15">
        <v>0.33333333333333331</v>
      </c>
      <c r="S23" s="15">
        <v>0.5</v>
      </c>
      <c r="T23" s="17" t="s">
        <v>23</v>
      </c>
      <c r="U23" s="15">
        <v>0.33333333333333331</v>
      </c>
      <c r="V23" s="15">
        <v>0.5</v>
      </c>
      <c r="W23" s="17" t="s">
        <v>23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0.70833333333333337</v>
      </c>
      <c r="K24" s="17" t="s">
        <v>23</v>
      </c>
      <c r="L24" s="15">
        <v>0.52083333333333337</v>
      </c>
      <c r="M24" s="15">
        <v>0.70833333333333337</v>
      </c>
      <c r="N24" s="17" t="s">
        <v>23</v>
      </c>
      <c r="O24" s="15">
        <v>0.52083333333333337</v>
      </c>
      <c r="P24" s="15">
        <v>0.70833333333333337</v>
      </c>
      <c r="Q24" s="17" t="s">
        <v>23</v>
      </c>
      <c r="R24" s="15">
        <v>0.52083333333333337</v>
      </c>
      <c r="S24" s="15">
        <v>0.70833333333333337</v>
      </c>
      <c r="T24" s="17" t="s">
        <v>23</v>
      </c>
      <c r="U24" s="15">
        <v>0.52083333333333337</v>
      </c>
      <c r="V24" s="15">
        <v>0.64583333333333337</v>
      </c>
      <c r="W24" s="17" t="s">
        <v>23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</v>
      </c>
      <c r="K38" s="17" t="s">
        <v>23</v>
      </c>
      <c r="L38" s="15">
        <v>0.33333333333333331</v>
      </c>
      <c r="M38" s="15">
        <v>0.5</v>
      </c>
      <c r="N38" s="17" t="s">
        <v>23</v>
      </c>
      <c r="O38" s="15">
        <v>0.33333333333333331</v>
      </c>
      <c r="P38" s="15">
        <v>0.5</v>
      </c>
      <c r="Q38" s="17" t="s">
        <v>23</v>
      </c>
      <c r="R38" s="15">
        <v>0.33333333333333331</v>
      </c>
      <c r="S38" s="15">
        <v>0.5</v>
      </c>
      <c r="T38" s="17" t="s">
        <v>23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0.70833333333333337</v>
      </c>
      <c r="K39" s="17" t="s">
        <v>23</v>
      </c>
      <c r="L39" s="15">
        <v>0.52083333333333337</v>
      </c>
      <c r="M39" s="15">
        <v>0.70833333333333337</v>
      </c>
      <c r="N39" s="17" t="s">
        <v>23</v>
      </c>
      <c r="O39" s="15">
        <v>0.52083333333333337</v>
      </c>
      <c r="P39" s="15">
        <v>0.70833333333333337</v>
      </c>
      <c r="Q39" s="17" t="s">
        <v>23</v>
      </c>
      <c r="R39" s="15">
        <v>0.52083333333333337</v>
      </c>
      <c r="S39" s="15">
        <v>0.70833333333333337</v>
      </c>
      <c r="T39" s="17" t="s">
        <v>23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R21:T21"/>
    <mergeCell ref="C20:W20"/>
    <mergeCell ref="C7:X7"/>
    <mergeCell ref="C9:X9"/>
    <mergeCell ref="C10:X10"/>
    <mergeCell ref="C11:X11"/>
    <mergeCell ref="C12:X12"/>
    <mergeCell ref="C13:X13"/>
    <mergeCell ref="C14:X14"/>
    <mergeCell ref="A16:X16"/>
    <mergeCell ref="A17:A18"/>
    <mergeCell ref="B17:B18"/>
    <mergeCell ref="C17:X18"/>
    <mergeCell ref="C6:X6"/>
    <mergeCell ref="C8:X8"/>
    <mergeCell ref="C1:X1"/>
    <mergeCell ref="C2:X2"/>
    <mergeCell ref="C3:X3"/>
    <mergeCell ref="C4:X4"/>
    <mergeCell ref="C5:X5"/>
  </mergeCells>
  <conditionalFormatting sqref="C50:E50">
    <cfRule type="expression" dxfId="1235" priority="33">
      <formula>C50=FALSE</formula>
    </cfRule>
    <cfRule type="expression" dxfId="1234" priority="34">
      <formula>C50=TRUE</formula>
    </cfRule>
  </conditionalFormatting>
  <conditionalFormatting sqref="C30:W30">
    <cfRule type="expression" dxfId="1233" priority="37">
      <formula>C30=FALSE</formula>
    </cfRule>
    <cfRule type="expression" dxfId="1232" priority="38">
      <formula>C30=TRUE</formula>
    </cfRule>
  </conditionalFormatting>
  <conditionalFormatting sqref="C45:W45">
    <cfRule type="expression" dxfId="1231" priority="35">
      <formula>C45=FALSE</formula>
    </cfRule>
    <cfRule type="expression" dxfId="1230" priority="36">
      <formula>C45=TRUE</formula>
    </cfRule>
  </conditionalFormatting>
  <conditionalFormatting sqref="E9:E14">
    <cfRule type="containsText" dxfId="1229" priority="11" operator="containsText" text="Remote">
      <formula>NOT(ISERROR(SEARCH("Remote",E9)))</formula>
    </cfRule>
    <cfRule type="containsText" dxfId="1228" priority="12" operator="containsText" text="Office">
      <formula>NOT(ISERROR(SEARCH("Office",E9)))</formula>
    </cfRule>
  </conditionalFormatting>
  <conditionalFormatting sqref="E23:E27">
    <cfRule type="containsText" dxfId="1227" priority="31" operator="containsText" text="Remote">
      <formula>NOT(ISERROR(SEARCH("Remote",E23)))</formula>
    </cfRule>
    <cfRule type="containsText" dxfId="1226" priority="32" operator="containsText" text="Office">
      <formula>NOT(ISERROR(SEARCH("Office",E23)))</formula>
    </cfRule>
  </conditionalFormatting>
  <conditionalFormatting sqref="E38:E42">
    <cfRule type="containsText" dxfId="1225" priority="26" operator="containsText" text="Office">
      <formula>NOT(ISERROR(SEARCH("Office",E38)))</formula>
    </cfRule>
    <cfRule type="containsText" dxfId="1224" priority="25" operator="containsText" text="Remote">
      <formula>NOT(ISERROR(SEARCH("Remote",E38)))</formula>
    </cfRule>
  </conditionalFormatting>
  <conditionalFormatting sqref="H9:H14">
    <cfRule type="containsText" dxfId="1223" priority="9" operator="containsText" text="Remote">
      <formula>NOT(ISERROR(SEARCH("Remote",H9)))</formula>
    </cfRule>
    <cfRule type="containsText" dxfId="1222" priority="10" operator="containsText" text="Office">
      <formula>NOT(ISERROR(SEARCH("Office",H9)))</formula>
    </cfRule>
  </conditionalFormatting>
  <conditionalFormatting sqref="H23:H27">
    <cfRule type="containsText" dxfId="1221" priority="30" operator="containsText" text="Office">
      <formula>NOT(ISERROR(SEARCH("Office",H23)))</formula>
    </cfRule>
    <cfRule type="containsText" dxfId="1220" priority="29" operator="containsText" text="Remote">
      <formula>NOT(ISERROR(SEARCH("Remote",H23)))</formula>
    </cfRule>
  </conditionalFormatting>
  <conditionalFormatting sqref="H38:H42">
    <cfRule type="containsText" dxfId="1219" priority="23" operator="containsText" text="Remote">
      <formula>NOT(ISERROR(SEARCH("Remote",H38)))</formula>
    </cfRule>
    <cfRule type="containsText" dxfId="1218" priority="24" operator="containsText" text="Office">
      <formula>NOT(ISERROR(SEARCH("Office",H38)))</formula>
    </cfRule>
  </conditionalFormatting>
  <conditionalFormatting sqref="I31:T31">
    <cfRule type="expression" dxfId="1217" priority="41">
      <formula>I31=FALSE</formula>
    </cfRule>
    <cfRule type="expression" dxfId="1216" priority="42">
      <formula>I31=TRUE</formula>
    </cfRule>
  </conditionalFormatting>
  <conditionalFormatting sqref="I46:T46">
    <cfRule type="expression" dxfId="1215" priority="39">
      <formula>I46=FALSE</formula>
    </cfRule>
    <cfRule type="expression" dxfId="1214" priority="40">
      <formula>I46=TRUE</formula>
    </cfRule>
  </conditionalFormatting>
  <conditionalFormatting sqref="K9:K14">
    <cfRule type="containsText" dxfId="1213" priority="7" operator="containsText" text="Remote">
      <formula>NOT(ISERROR(SEARCH("Remote",K9)))</formula>
    </cfRule>
    <cfRule type="containsText" dxfId="1212" priority="8" operator="containsText" text="Office">
      <formula>NOT(ISERROR(SEARCH("Office",K9)))</formula>
    </cfRule>
  </conditionalFormatting>
  <conditionalFormatting sqref="K23:K27">
    <cfRule type="containsText" dxfId="1211" priority="28" operator="containsText" text="Office">
      <formula>NOT(ISERROR(SEARCH("Office",K23)))</formula>
    </cfRule>
    <cfRule type="containsText" dxfId="1210" priority="27" operator="containsText" text="Remote">
      <formula>NOT(ISERROR(SEARCH("Remote",K23)))</formula>
    </cfRule>
  </conditionalFormatting>
  <conditionalFormatting sqref="K38:K42 N38:N42 Q38:Q42 T38:T42">
    <cfRule type="containsText" dxfId="1209" priority="15" operator="containsText" text="Remote">
      <formula>NOT(ISERROR(SEARCH("Remote",K38)))</formula>
    </cfRule>
    <cfRule type="containsText" dxfId="1208" priority="16" operator="containsText" text="Office">
      <formula>NOT(ISERROR(SEARCH("Office",K38)))</formula>
    </cfRule>
  </conditionalFormatting>
  <conditionalFormatting sqref="N9:N14">
    <cfRule type="containsText" dxfId="1207" priority="5" operator="containsText" text="Remote">
      <formula>NOT(ISERROR(SEARCH("Remote",N9)))</formula>
    </cfRule>
    <cfRule type="containsText" dxfId="1206" priority="6" operator="containsText" text="Office">
      <formula>NOT(ISERROR(SEARCH("Office",N9)))</formula>
    </cfRule>
  </conditionalFormatting>
  <conditionalFormatting sqref="N23:N27">
    <cfRule type="containsText" dxfId="1205" priority="20" operator="containsText" text="Office">
      <formula>NOT(ISERROR(SEARCH("Office",N23)))</formula>
    </cfRule>
    <cfRule type="containsText" dxfId="1204" priority="19" operator="containsText" text="Remote">
      <formula>NOT(ISERROR(SEARCH("Remote",N23)))</formula>
    </cfRule>
  </conditionalFormatting>
  <conditionalFormatting sqref="Q9:Q14 T9:T14">
    <cfRule type="containsText" dxfId="1203" priority="4" operator="containsText" text="Office">
      <formula>NOT(ISERROR(SEARCH("Office",Q9)))</formula>
    </cfRule>
    <cfRule type="containsText" dxfId="1202" priority="3" operator="containsText" text="Remote">
      <formula>NOT(ISERROR(SEARCH("Remote",Q9)))</formula>
    </cfRule>
  </conditionalFormatting>
  <conditionalFormatting sqref="Q23:Q27 T23:T27">
    <cfRule type="containsText" dxfId="1201" priority="17" operator="containsText" text="Remote">
      <formula>NOT(ISERROR(SEARCH("Remote",Q23)))</formula>
    </cfRule>
    <cfRule type="containsText" dxfId="1200" priority="18" operator="containsText" text="Office">
      <formula>NOT(ISERROR(SEARCH("Office",Q23)))</formula>
    </cfRule>
  </conditionalFormatting>
  <conditionalFormatting sqref="W9:W14">
    <cfRule type="containsText" dxfId="1199" priority="2" operator="containsText" text="Office">
      <formula>NOT(ISERROR(SEARCH("Office",W9)))</formula>
    </cfRule>
    <cfRule type="containsText" dxfId="1198" priority="1" operator="containsText" text="Remote">
      <formula>NOT(ISERROR(SEARCH("Remote",W9)))</formula>
    </cfRule>
  </conditionalFormatting>
  <conditionalFormatting sqref="W23:W27">
    <cfRule type="containsText" dxfId="1197" priority="14" operator="containsText" text="Office">
      <formula>NOT(ISERROR(SEARCH("Office",W23)))</formula>
    </cfRule>
    <cfRule type="containsText" dxfId="1196" priority="13" operator="containsText" text="Remote">
      <formula>NOT(ISERROR(SEARCH("Remote",W23)))</formula>
    </cfRule>
  </conditionalFormatting>
  <conditionalFormatting sqref="W38:W42">
    <cfRule type="containsText" dxfId="1195" priority="21" operator="containsText" text="Remote">
      <formula>NOT(ISERROR(SEARCH("Remote",W38)))</formula>
    </cfRule>
    <cfRule type="containsText" dxfId="1194" priority="22" operator="containsText" text="Office">
      <formula>NOT(ISERROR(SEARCH("Office",W38)))</formula>
    </cfRule>
  </conditionalFormatting>
  <dataValidations count="2">
    <dataValidation type="list" allowBlank="1" showInputMessage="1" showErrorMessage="1" sqref="E10:E14 H10:H14 K10:K14 N10:N14 Q10:Q14 T10:T14 W10:X14" xr:uid="{CCF969F7-155C-4A8F-9E52-ED76FC6B8CEA}">
      <formula1>"Remote,Office"</formula1>
      <formula2>0</formula2>
    </dataValidation>
    <dataValidation type="list" allowBlank="1" showInputMessage="1" showErrorMessage="1" sqref="Q23:Q27 Q38:Q42 E23:E27 W38:Y42 H23:H27 K23:K27 T38:T42 N38:N42 K38:K42 E38:E42 T23:T27 H38:H42 N23:N27 W23:Y27" xr:uid="{A92C7A86-0463-422E-A021-816D51E484BE}">
      <formula1>"Remote, Office"</formula1>
    </dataValidation>
  </dataValidations>
  <hyperlinks>
    <hyperlink ref="C9" r:id="rId1" xr:uid="{61868743-100E-4BDE-B13A-D2FDAB074C6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7C18A6C7-F05B-4DDC-B1FF-E7799799A9A5}">
          <x14:formula1>
            <xm:f>FormTools!$A$1:$A$48</xm:f>
          </x14:formula1>
          <xm:sqref>I38:J42 C23:D27 F23:G27 I23:J27 R23:S27 L23:M27 R38:S42 L38:M42 C38:D42 F38:G42 O38:P42 O23:P27 U38:V42 U23:V27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6A9F-6F71-4BB5-940B-375F15C50B25}">
  <sheetPr codeName="Sheet4"/>
  <dimension ref="A1:Y52"/>
  <sheetViews>
    <sheetView zoomScale="90" zoomScaleNormal="90" workbookViewId="0">
      <selection activeCell="C10" sqref="C10:X10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116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117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118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119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120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121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217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339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122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123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125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0.27083333333333331</v>
      </c>
      <c r="J23" s="15">
        <v>0.64583333333333337</v>
      </c>
      <c r="K23" s="17" t="s">
        <v>11</v>
      </c>
      <c r="L23" s="15">
        <v>0.27083333333333331</v>
      </c>
      <c r="M23" s="15">
        <v>0.64583333333333337</v>
      </c>
      <c r="N23" s="17" t="s">
        <v>11</v>
      </c>
      <c r="O23" s="15">
        <v>0.27083333333333331</v>
      </c>
      <c r="P23" s="15">
        <v>0.64583333333333337</v>
      </c>
      <c r="Q23" s="17" t="s">
        <v>23</v>
      </c>
      <c r="R23" s="15">
        <v>0.27083333333333331</v>
      </c>
      <c r="S23" s="15">
        <v>0.64583333333333337</v>
      </c>
      <c r="T23" s="17" t="s">
        <v>11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9.0000000000000018</v>
      </c>
      <c r="J29" s="63"/>
      <c r="K29" s="64"/>
      <c r="L29" s="62" cm="1">
        <f t="array" ref="L29">SUM((M23:M27-L23:L27)*24)</f>
        <v>9.0000000000000018</v>
      </c>
      <c r="M29" s="63"/>
      <c r="N29" s="64"/>
      <c r="O29" s="62" cm="1">
        <f t="array" ref="O29">SUM((P23:P27-O23:O27)*24)</f>
        <v>9.0000000000000018</v>
      </c>
      <c r="P29" s="63"/>
      <c r="Q29" s="64"/>
      <c r="R29" s="62" cm="1">
        <f t="array" ref="R29">SUM((S23:S27-R23:R27)*24)</f>
        <v>9.0000000000000018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36.000000000000007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0.27083333333333331</v>
      </c>
      <c r="J38" s="15">
        <v>0.64583333333333337</v>
      </c>
      <c r="K38" s="17" t="s">
        <v>11</v>
      </c>
      <c r="L38" s="15">
        <v>0.27083333333333331</v>
      </c>
      <c r="M38" s="15">
        <v>0.64583333333333337</v>
      </c>
      <c r="N38" s="17" t="s">
        <v>11</v>
      </c>
      <c r="O38" s="15">
        <v>0.27083333333333331</v>
      </c>
      <c r="P38" s="15">
        <v>0.64583333333333337</v>
      </c>
      <c r="Q38" s="17" t="s">
        <v>23</v>
      </c>
      <c r="R38" s="15">
        <v>0.27083333333333331</v>
      </c>
      <c r="S38" s="15">
        <v>0.64583333333333337</v>
      </c>
      <c r="T38" s="17" t="s">
        <v>11</v>
      </c>
      <c r="U38" s="15">
        <v>0.27083333333333331</v>
      </c>
      <c r="V38" s="15">
        <v>0.39583333333333331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9.0000000000000018</v>
      </c>
      <c r="J44" s="63"/>
      <c r="K44" s="64"/>
      <c r="L44" s="62" cm="1">
        <f t="array" ref="L44">SUM((M38:M42-L38:L42)*24)</f>
        <v>9.0000000000000018</v>
      </c>
      <c r="M44" s="63"/>
      <c r="N44" s="64"/>
      <c r="O44" s="62" cm="1">
        <f t="array" ref="O44">SUM((P38:P42-O38:O42)*24)</f>
        <v>9.0000000000000018</v>
      </c>
      <c r="P44" s="63"/>
      <c r="Q44" s="64"/>
      <c r="R44" s="62" cm="1">
        <f t="array" ref="R44">SUM((S38:S42-R38:R42)*24)</f>
        <v>9.0000000000000018</v>
      </c>
      <c r="S44" s="63"/>
      <c r="T44" s="64"/>
      <c r="U44" s="62" cm="1">
        <f t="array" ref="U44">SUM((V38:V42-U38:U42)*24)</f>
        <v>3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39.000000000000007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193" priority="44">
      <formula>C50=TRUE</formula>
    </cfRule>
    <cfRule type="expression" dxfId="1192" priority="43">
      <formula>C50=FALSE</formula>
    </cfRule>
  </conditionalFormatting>
  <conditionalFormatting sqref="C30:W30">
    <cfRule type="expression" dxfId="1191" priority="48">
      <formula>C30=TRUE</formula>
    </cfRule>
    <cfRule type="expression" dxfId="1190" priority="47">
      <formula>C30=FALSE</formula>
    </cfRule>
  </conditionalFormatting>
  <conditionalFormatting sqref="C45:W45">
    <cfRule type="expression" dxfId="1189" priority="45">
      <formula>C45=FALSE</formula>
    </cfRule>
    <cfRule type="expression" dxfId="1188" priority="46">
      <formula>C45=TRUE</formula>
    </cfRule>
  </conditionalFormatting>
  <conditionalFormatting sqref="E10:E14">
    <cfRule type="containsText" dxfId="1187" priority="13" operator="containsText" text="Remote">
      <formula>NOT(ISERROR(SEARCH("Remote",E10)))</formula>
    </cfRule>
    <cfRule type="containsText" dxfId="1186" priority="14" operator="containsText" text="Office">
      <formula>NOT(ISERROR(SEARCH("Office",E10)))</formula>
    </cfRule>
  </conditionalFormatting>
  <conditionalFormatting sqref="E23:E27">
    <cfRule type="containsText" dxfId="1185" priority="42" operator="containsText" text="Office">
      <formula>NOT(ISERROR(SEARCH("Office",E23)))</formula>
    </cfRule>
    <cfRule type="containsText" dxfId="1184" priority="41" operator="containsText" text="Remote">
      <formula>NOT(ISERROR(SEARCH("Remote",E23)))</formula>
    </cfRule>
  </conditionalFormatting>
  <conditionalFormatting sqref="E38:E42">
    <cfRule type="containsText" dxfId="1183" priority="27" operator="containsText" text="Remote">
      <formula>NOT(ISERROR(SEARCH("Remote",E38)))</formula>
    </cfRule>
    <cfRule type="containsText" dxfId="1182" priority="28" operator="containsText" text="Office">
      <formula>NOT(ISERROR(SEARCH("Office",E38)))</formula>
    </cfRule>
  </conditionalFormatting>
  <conditionalFormatting sqref="H10:H14">
    <cfRule type="containsText" dxfId="1181" priority="11" operator="containsText" text="Remote">
      <formula>NOT(ISERROR(SEARCH("Remote",H10)))</formula>
    </cfRule>
    <cfRule type="containsText" dxfId="1180" priority="12" operator="containsText" text="Office">
      <formula>NOT(ISERROR(SEARCH("Office",H10)))</formula>
    </cfRule>
  </conditionalFormatting>
  <conditionalFormatting sqref="H23:H27">
    <cfRule type="containsText" dxfId="1179" priority="40" operator="containsText" text="Office">
      <formula>NOT(ISERROR(SEARCH("Office",H23)))</formula>
    </cfRule>
    <cfRule type="containsText" dxfId="1178" priority="39" operator="containsText" text="Remote">
      <formula>NOT(ISERROR(SEARCH("Remote",H23)))</formula>
    </cfRule>
  </conditionalFormatting>
  <conditionalFormatting sqref="H38:H42">
    <cfRule type="containsText" dxfId="1177" priority="26" operator="containsText" text="Office">
      <formula>NOT(ISERROR(SEARCH("Office",H38)))</formula>
    </cfRule>
    <cfRule type="containsText" dxfId="1176" priority="25" operator="containsText" text="Remote">
      <formula>NOT(ISERROR(SEARCH("Remote",H38)))</formula>
    </cfRule>
  </conditionalFormatting>
  <conditionalFormatting sqref="I31:T31">
    <cfRule type="expression" dxfId="1175" priority="57">
      <formula>I31=FALSE</formula>
    </cfRule>
    <cfRule type="expression" dxfId="1174" priority="58">
      <formula>I31=TRUE</formula>
    </cfRule>
  </conditionalFormatting>
  <conditionalFormatting sqref="I46:T46">
    <cfRule type="expression" dxfId="1173" priority="49">
      <formula>I46=FALSE</formula>
    </cfRule>
    <cfRule type="expression" dxfId="1172" priority="50">
      <formula>I46=TRUE</formula>
    </cfRule>
  </conditionalFormatting>
  <conditionalFormatting sqref="K10:K14">
    <cfRule type="containsText" dxfId="1171" priority="9" operator="containsText" text="Remote">
      <formula>NOT(ISERROR(SEARCH("Remote",K10)))</formula>
    </cfRule>
    <cfRule type="containsText" dxfId="1170" priority="10" operator="containsText" text="Office">
      <formula>NOT(ISERROR(SEARCH("Office",K10)))</formula>
    </cfRule>
  </conditionalFormatting>
  <conditionalFormatting sqref="K23:K27">
    <cfRule type="containsText" dxfId="1169" priority="38" operator="containsText" text="Office">
      <formula>NOT(ISERROR(SEARCH("Office",K23)))</formula>
    </cfRule>
    <cfRule type="containsText" dxfId="1168" priority="37" operator="containsText" text="Remote">
      <formula>NOT(ISERROR(SEARCH("Remote",K23)))</formula>
    </cfRule>
  </conditionalFormatting>
  <conditionalFormatting sqref="K38:K42">
    <cfRule type="containsText" dxfId="1167" priority="23" operator="containsText" text="Remote">
      <formula>NOT(ISERROR(SEARCH("Remote",K38)))</formula>
    </cfRule>
    <cfRule type="containsText" dxfId="1166" priority="24" operator="containsText" text="Office">
      <formula>NOT(ISERROR(SEARCH("Office",K38)))</formula>
    </cfRule>
  </conditionalFormatting>
  <conditionalFormatting sqref="N10:N14">
    <cfRule type="containsText" dxfId="1165" priority="7" operator="containsText" text="Remote">
      <formula>NOT(ISERROR(SEARCH("Remote",N10)))</formula>
    </cfRule>
    <cfRule type="containsText" dxfId="1164" priority="8" operator="containsText" text="Office">
      <formula>NOT(ISERROR(SEARCH("Office",N10)))</formula>
    </cfRule>
  </conditionalFormatting>
  <conditionalFormatting sqref="N23:N27">
    <cfRule type="containsText" dxfId="1163" priority="35" operator="containsText" text="Remote">
      <formula>NOT(ISERROR(SEARCH("Remote",N23)))</formula>
    </cfRule>
    <cfRule type="containsText" dxfId="1162" priority="36" operator="containsText" text="Office">
      <formula>NOT(ISERROR(SEARCH("Office",N23)))</formula>
    </cfRule>
  </conditionalFormatting>
  <conditionalFormatting sqref="N38:N42">
    <cfRule type="containsText" dxfId="1161" priority="21" operator="containsText" text="Remote">
      <formula>NOT(ISERROR(SEARCH("Remote",N38)))</formula>
    </cfRule>
    <cfRule type="containsText" dxfId="1160" priority="22" operator="containsText" text="Office">
      <formula>NOT(ISERROR(SEARCH("Office",N38)))</formula>
    </cfRule>
  </conditionalFormatting>
  <conditionalFormatting sqref="Q10:Q14">
    <cfRule type="containsText" dxfId="1159" priority="6" operator="containsText" text="Office">
      <formula>NOT(ISERROR(SEARCH("Office",Q10)))</formula>
    </cfRule>
    <cfRule type="containsText" dxfId="1158" priority="5" operator="containsText" text="Remote">
      <formula>NOT(ISERROR(SEARCH("Remote",Q10)))</formula>
    </cfRule>
  </conditionalFormatting>
  <conditionalFormatting sqref="Q23:Q27">
    <cfRule type="containsText" dxfId="1157" priority="33" operator="containsText" text="Remote">
      <formula>NOT(ISERROR(SEARCH("Remote",Q23)))</formula>
    </cfRule>
    <cfRule type="containsText" dxfId="1156" priority="34" operator="containsText" text="Office">
      <formula>NOT(ISERROR(SEARCH("Office",Q23)))</formula>
    </cfRule>
  </conditionalFormatting>
  <conditionalFormatting sqref="Q38:Q42">
    <cfRule type="containsText" dxfId="1155" priority="20" operator="containsText" text="Office">
      <formula>NOT(ISERROR(SEARCH("Office",Q38)))</formula>
    </cfRule>
    <cfRule type="containsText" dxfId="1154" priority="19" operator="containsText" text="Remote">
      <formula>NOT(ISERROR(SEARCH("Remote",Q38)))</formula>
    </cfRule>
  </conditionalFormatting>
  <conditionalFormatting sqref="T10:T14">
    <cfRule type="containsText" dxfId="1153" priority="4" operator="containsText" text="Office">
      <formula>NOT(ISERROR(SEARCH("Office",T10)))</formula>
    </cfRule>
    <cfRule type="containsText" dxfId="1152" priority="3" operator="containsText" text="Remote">
      <formula>NOT(ISERROR(SEARCH("Remote",T10)))</formula>
    </cfRule>
  </conditionalFormatting>
  <conditionalFormatting sqref="T23:T27">
    <cfRule type="containsText" dxfId="1151" priority="31" operator="containsText" text="Remote">
      <formula>NOT(ISERROR(SEARCH("Remote",T23)))</formula>
    </cfRule>
    <cfRule type="containsText" dxfId="1150" priority="32" operator="containsText" text="Office">
      <formula>NOT(ISERROR(SEARCH("Office",T23)))</formula>
    </cfRule>
  </conditionalFormatting>
  <conditionalFormatting sqref="T38:T42">
    <cfRule type="containsText" dxfId="1149" priority="18" operator="containsText" text="Office">
      <formula>NOT(ISERROR(SEARCH("Office",T38)))</formula>
    </cfRule>
    <cfRule type="containsText" dxfId="1148" priority="17" operator="containsText" text="Remote">
      <formula>NOT(ISERROR(SEARCH("Remote",T38)))</formula>
    </cfRule>
  </conditionalFormatting>
  <conditionalFormatting sqref="W10:W14">
    <cfRule type="containsText" dxfId="1147" priority="1" operator="containsText" text="Remote">
      <formula>NOT(ISERROR(SEARCH("Remote",W10)))</formula>
    </cfRule>
    <cfRule type="containsText" dxfId="1146" priority="2" operator="containsText" text="Office">
      <formula>NOT(ISERROR(SEARCH("Office",W10)))</formula>
    </cfRule>
  </conditionalFormatting>
  <conditionalFormatting sqref="W23:W27">
    <cfRule type="containsText" dxfId="1145" priority="29" operator="containsText" text="Remote">
      <formula>NOT(ISERROR(SEARCH("Remote",W23)))</formula>
    </cfRule>
    <cfRule type="containsText" dxfId="1144" priority="30" operator="containsText" text="Office">
      <formula>NOT(ISERROR(SEARCH("Office",W23)))</formula>
    </cfRule>
  </conditionalFormatting>
  <conditionalFormatting sqref="W38:W42">
    <cfRule type="containsText" dxfId="1143" priority="16" operator="containsText" text="Office">
      <formula>NOT(ISERROR(SEARCH("Office",W38)))</formula>
    </cfRule>
    <cfRule type="containsText" dxfId="1142" priority="15" operator="containsText" text="Remote">
      <formula>NOT(ISERROR(SEARCH("Remote",W38)))</formula>
    </cfRule>
  </conditionalFormatting>
  <dataValidations count="2">
    <dataValidation type="list" allowBlank="1" showInputMessage="1" showErrorMessage="1" sqref="Q23:Q27 W38:Y42 E23:E27 T23:T27 H23:H27 K23:K27 N23:N27 W23:Y27 Q38:Q42 E38:E42 T38:T42 H38:H42 K38:K42 N38:N42" xr:uid="{D422FC7E-DDD5-4623-9708-9BA8003ECCE0}">
      <formula1>"Remote, Office"</formula1>
    </dataValidation>
    <dataValidation type="list" allowBlank="1" showInputMessage="1" showErrorMessage="1" sqref="E10:E14 H10:H14 K10:K14 N10:N14 Q10:Q14 T10:T14 W10:X14" xr:uid="{F4B4AC90-8957-4AEF-81B4-8B91609F19E5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A7CF649C-FCA2-4F73-B779-46A29A6E8D1E}">
          <x14:formula1>
            <xm:f>FormTools!$A$1:$A$48</xm:f>
          </x14:formula1>
          <xm:sqref>U23:V27 C23:D27 F23:G27 I23:J27 L23:M27 O23:P27 R23:S27 U38:V42 C38:D42 F38:G42 I38:J42 L38:M42 O38:P42 R38:S42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D2CF-AD3A-40DF-8D38-78077B998FBB}">
  <sheetPr codeName="Sheet8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126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127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128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129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85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130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275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338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131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132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40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22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11</v>
      </c>
      <c r="L23" s="15">
        <v>0.33333333333333331</v>
      </c>
      <c r="M23" s="15">
        <v>0.5</v>
      </c>
      <c r="N23" s="17" t="s">
        <v>11</v>
      </c>
      <c r="O23" s="15">
        <v>0.33333333333333331</v>
      </c>
      <c r="P23" s="15">
        <v>0.5</v>
      </c>
      <c r="Q23" s="17" t="s">
        <v>23</v>
      </c>
      <c r="R23" s="15">
        <v>0.33333333333333331</v>
      </c>
      <c r="S23" s="15">
        <v>0.5</v>
      </c>
      <c r="T23" s="17" t="s">
        <v>23</v>
      </c>
      <c r="U23" s="15">
        <v>0.33333333333333331</v>
      </c>
      <c r="V23" s="15">
        <v>0.625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0.70833333333333337</v>
      </c>
      <c r="K24" s="17" t="s">
        <v>11</v>
      </c>
      <c r="L24" s="15">
        <v>0.52083333333333337</v>
      </c>
      <c r="M24" s="15">
        <v>0.70833333333333337</v>
      </c>
      <c r="N24" s="17" t="s">
        <v>11</v>
      </c>
      <c r="O24" s="15">
        <v>0.52083333333333337</v>
      </c>
      <c r="P24" s="15">
        <v>0.70833333333333337</v>
      </c>
      <c r="Q24" s="17" t="s">
        <v>23</v>
      </c>
      <c r="R24" s="15">
        <v>0.52083333333333337</v>
      </c>
      <c r="S24" s="15">
        <v>0.70833333333333337</v>
      </c>
      <c r="T24" s="17" t="s">
        <v>23</v>
      </c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</v>
      </c>
      <c r="K38" s="17" t="s">
        <v>11</v>
      </c>
      <c r="L38" s="15">
        <v>0.33333333333333331</v>
      </c>
      <c r="M38" s="15">
        <v>0.5</v>
      </c>
      <c r="N38" s="17" t="s">
        <v>11</v>
      </c>
      <c r="O38" s="15">
        <v>0.33333333333333331</v>
      </c>
      <c r="P38" s="15">
        <v>0.5</v>
      </c>
      <c r="Q38" s="17" t="s">
        <v>23</v>
      </c>
      <c r="R38" s="15">
        <v>0.33333333333333331</v>
      </c>
      <c r="S38" s="15">
        <v>0.5</v>
      </c>
      <c r="T38" s="17" t="s">
        <v>23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0.70833333333333337</v>
      </c>
      <c r="K39" s="17" t="s">
        <v>11</v>
      </c>
      <c r="L39" s="15">
        <v>0.52083333333333337</v>
      </c>
      <c r="M39" s="15">
        <v>0.70833333333333337</v>
      </c>
      <c r="N39" s="17" t="s">
        <v>11</v>
      </c>
      <c r="O39" s="15">
        <v>0.52083333333333337</v>
      </c>
      <c r="P39" s="15">
        <v>0.70833333333333337</v>
      </c>
      <c r="Q39" s="17" t="s">
        <v>23</v>
      </c>
      <c r="R39" s="15">
        <v>0.52083333333333337</v>
      </c>
      <c r="S39" s="15">
        <v>0.70833333333333337</v>
      </c>
      <c r="T39" s="17" t="s">
        <v>23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141" priority="60">
      <formula>C50=TRUE</formula>
    </cfRule>
    <cfRule type="expression" dxfId="1140" priority="59">
      <formula>C50=FALSE</formula>
    </cfRule>
  </conditionalFormatting>
  <conditionalFormatting sqref="C30:W30">
    <cfRule type="expression" dxfId="1139" priority="64">
      <formula>C30=TRUE</formula>
    </cfRule>
    <cfRule type="expression" dxfId="1138" priority="63">
      <formula>C30=FALSE</formula>
    </cfRule>
  </conditionalFormatting>
  <conditionalFormatting sqref="C45:W45">
    <cfRule type="expression" dxfId="1137" priority="61">
      <formula>C45=FALSE</formula>
    </cfRule>
    <cfRule type="expression" dxfId="1136" priority="62">
      <formula>C45=TRUE</formula>
    </cfRule>
  </conditionalFormatting>
  <conditionalFormatting sqref="E10:E14">
    <cfRule type="containsText" dxfId="1135" priority="13" operator="containsText" text="Remote">
      <formula>NOT(ISERROR(SEARCH("Remote",E10)))</formula>
    </cfRule>
    <cfRule type="containsText" dxfId="1134" priority="14" operator="containsText" text="Office">
      <formula>NOT(ISERROR(SEARCH("Office",E10)))</formula>
    </cfRule>
  </conditionalFormatting>
  <conditionalFormatting sqref="E23:E27">
    <cfRule type="containsText" dxfId="1133" priority="57" operator="containsText" text="Remote">
      <formula>NOT(ISERROR(SEARCH("Remote",E23)))</formula>
    </cfRule>
    <cfRule type="containsText" dxfId="1132" priority="58" operator="containsText" text="Office">
      <formula>NOT(ISERROR(SEARCH("Office",E23)))</formula>
    </cfRule>
  </conditionalFormatting>
  <conditionalFormatting sqref="E38:E42">
    <cfRule type="containsText" dxfId="1131" priority="43" operator="containsText" text="Remote">
      <formula>NOT(ISERROR(SEARCH("Remote",E38)))</formula>
    </cfRule>
    <cfRule type="containsText" dxfId="1130" priority="44" operator="containsText" text="Office">
      <formula>NOT(ISERROR(SEARCH("Office",E38)))</formula>
    </cfRule>
  </conditionalFormatting>
  <conditionalFormatting sqref="H10:H14">
    <cfRule type="containsText" dxfId="1129" priority="11" operator="containsText" text="Remote">
      <formula>NOT(ISERROR(SEARCH("Remote",H10)))</formula>
    </cfRule>
    <cfRule type="containsText" dxfId="1128" priority="12" operator="containsText" text="Office">
      <formula>NOT(ISERROR(SEARCH("Office",H10)))</formula>
    </cfRule>
  </conditionalFormatting>
  <conditionalFormatting sqref="H23:H27">
    <cfRule type="containsText" dxfId="1127" priority="56" operator="containsText" text="Office">
      <formula>NOT(ISERROR(SEARCH("Office",H23)))</formula>
    </cfRule>
    <cfRule type="containsText" dxfId="1126" priority="55" operator="containsText" text="Remote">
      <formula>NOT(ISERROR(SEARCH("Remote",H23)))</formula>
    </cfRule>
  </conditionalFormatting>
  <conditionalFormatting sqref="H38:H42">
    <cfRule type="containsText" dxfId="1125" priority="41" operator="containsText" text="Remote">
      <formula>NOT(ISERROR(SEARCH("Remote",H38)))</formula>
    </cfRule>
    <cfRule type="containsText" dxfId="1124" priority="42" operator="containsText" text="Office">
      <formula>NOT(ISERROR(SEARCH("Office",H38)))</formula>
    </cfRule>
  </conditionalFormatting>
  <conditionalFormatting sqref="I31:T31">
    <cfRule type="expression" dxfId="1123" priority="68">
      <formula>I31=TRUE</formula>
    </cfRule>
    <cfRule type="expression" dxfId="1122" priority="67">
      <formula>I31=FALSE</formula>
    </cfRule>
  </conditionalFormatting>
  <conditionalFormatting sqref="I46:T46">
    <cfRule type="expression" dxfId="1121" priority="65">
      <formula>I46=FALSE</formula>
    </cfRule>
    <cfRule type="expression" dxfId="1120" priority="66">
      <formula>I46=TRUE</formula>
    </cfRule>
  </conditionalFormatting>
  <conditionalFormatting sqref="K10:K14">
    <cfRule type="containsText" dxfId="1119" priority="10" operator="containsText" text="Office">
      <formula>NOT(ISERROR(SEARCH("Office",K10)))</formula>
    </cfRule>
    <cfRule type="containsText" dxfId="1118" priority="9" operator="containsText" text="Remote">
      <formula>NOT(ISERROR(SEARCH("Remote",K10)))</formula>
    </cfRule>
  </conditionalFormatting>
  <conditionalFormatting sqref="K23:K27">
    <cfRule type="containsText" dxfId="1117" priority="53" operator="containsText" text="Remote">
      <formula>NOT(ISERROR(SEARCH("Remote",K23)))</formula>
    </cfRule>
    <cfRule type="containsText" dxfId="1116" priority="54" operator="containsText" text="Office">
      <formula>NOT(ISERROR(SEARCH("Office",K23)))</formula>
    </cfRule>
  </conditionalFormatting>
  <conditionalFormatting sqref="K38:K42">
    <cfRule type="containsText" dxfId="1115" priority="23" operator="containsText" text="Remote">
      <formula>NOT(ISERROR(SEARCH("Remote",K38)))</formula>
    </cfRule>
    <cfRule type="containsText" dxfId="1114" priority="24" operator="containsText" text="Office">
      <formula>NOT(ISERROR(SEARCH("Office",K38)))</formula>
    </cfRule>
  </conditionalFormatting>
  <conditionalFormatting sqref="N10:N14">
    <cfRule type="containsText" dxfId="1113" priority="6" operator="containsText" text="Office">
      <formula>NOT(ISERROR(SEARCH("Office",N10)))</formula>
    </cfRule>
    <cfRule type="containsText" dxfId="1112" priority="5" operator="containsText" text="Remote">
      <formula>NOT(ISERROR(SEARCH("Remote",N10)))</formula>
    </cfRule>
  </conditionalFormatting>
  <conditionalFormatting sqref="N23:N27">
    <cfRule type="containsText" dxfId="1111" priority="30" operator="containsText" text="Office">
      <formula>NOT(ISERROR(SEARCH("Office",N23)))</formula>
    </cfRule>
    <cfRule type="containsText" dxfId="1110" priority="29" operator="containsText" text="Remote">
      <formula>NOT(ISERROR(SEARCH("Remote",N23)))</formula>
    </cfRule>
  </conditionalFormatting>
  <conditionalFormatting sqref="N38:N42">
    <cfRule type="containsText" dxfId="1109" priority="20" operator="containsText" text="Office">
      <formula>NOT(ISERROR(SEARCH("Office",N38)))</formula>
    </cfRule>
    <cfRule type="containsText" dxfId="1108" priority="19" operator="containsText" text="Remote">
      <formula>NOT(ISERROR(SEARCH("Remote",N38)))</formula>
    </cfRule>
  </conditionalFormatting>
  <conditionalFormatting sqref="Q10:Q14">
    <cfRule type="containsText" dxfId="1107" priority="4" operator="containsText" text="Office">
      <formula>NOT(ISERROR(SEARCH("Office",Q10)))</formula>
    </cfRule>
    <cfRule type="containsText" dxfId="1106" priority="3" operator="containsText" text="Remote">
      <formula>NOT(ISERROR(SEARCH("Remote",Q10)))</formula>
    </cfRule>
  </conditionalFormatting>
  <conditionalFormatting sqref="Q23:Q27">
    <cfRule type="containsText" dxfId="1105" priority="27" operator="containsText" text="Remote">
      <formula>NOT(ISERROR(SEARCH("Remote",Q23)))</formula>
    </cfRule>
    <cfRule type="containsText" dxfId="1104" priority="28" operator="containsText" text="Office">
      <formula>NOT(ISERROR(SEARCH("Office",Q23)))</formula>
    </cfRule>
  </conditionalFormatting>
  <conditionalFormatting sqref="Q38:Q42">
    <cfRule type="containsText" dxfId="1103" priority="18" operator="containsText" text="Office">
      <formula>NOT(ISERROR(SEARCH("Office",Q38)))</formula>
    </cfRule>
    <cfRule type="containsText" dxfId="1102" priority="17" operator="containsText" text="Remote">
      <formula>NOT(ISERROR(SEARCH("Remote",Q38)))</formula>
    </cfRule>
  </conditionalFormatting>
  <conditionalFormatting sqref="T10:T14">
    <cfRule type="containsText" dxfId="1101" priority="2" operator="containsText" text="Office">
      <formula>NOT(ISERROR(SEARCH("Office",T10)))</formula>
    </cfRule>
    <cfRule type="containsText" dxfId="1100" priority="1" operator="containsText" text="Remote">
      <formula>NOT(ISERROR(SEARCH("Remote",T10)))</formula>
    </cfRule>
  </conditionalFormatting>
  <conditionalFormatting sqref="T23:T27">
    <cfRule type="containsText" dxfId="1099" priority="26" operator="containsText" text="Office">
      <formula>NOT(ISERROR(SEARCH("Office",T23)))</formula>
    </cfRule>
    <cfRule type="containsText" dxfId="1098" priority="25" operator="containsText" text="Remote">
      <formula>NOT(ISERROR(SEARCH("Remote",T23)))</formula>
    </cfRule>
  </conditionalFormatting>
  <conditionalFormatting sqref="T38:T42">
    <cfRule type="containsText" dxfId="1097" priority="16" operator="containsText" text="Office">
      <formula>NOT(ISERROR(SEARCH("Office",T38)))</formula>
    </cfRule>
    <cfRule type="containsText" dxfId="1096" priority="15" operator="containsText" text="Remote">
      <formula>NOT(ISERROR(SEARCH("Remote",T38)))</formula>
    </cfRule>
  </conditionalFormatting>
  <conditionalFormatting sqref="W10:W14">
    <cfRule type="containsText" dxfId="1095" priority="7" operator="containsText" text="Remote">
      <formula>NOT(ISERROR(SEARCH("Remote",W10)))</formula>
    </cfRule>
    <cfRule type="containsText" dxfId="1094" priority="8" operator="containsText" text="Office">
      <formula>NOT(ISERROR(SEARCH("Office",W10)))</formula>
    </cfRule>
  </conditionalFormatting>
  <conditionalFormatting sqref="W23:W27">
    <cfRule type="containsText" dxfId="1093" priority="45" operator="containsText" text="Remote">
      <formula>NOT(ISERROR(SEARCH("Remote",W23)))</formula>
    </cfRule>
    <cfRule type="containsText" dxfId="1092" priority="46" operator="containsText" text="Office">
      <formula>NOT(ISERROR(SEARCH("Office",W23)))</formula>
    </cfRule>
  </conditionalFormatting>
  <conditionalFormatting sqref="W38:W42">
    <cfRule type="containsText" dxfId="1091" priority="22" operator="containsText" text="Office">
      <formula>NOT(ISERROR(SEARCH("Office",W38)))</formula>
    </cfRule>
    <cfRule type="containsText" dxfId="1090" priority="21" operator="containsText" text="Remote">
      <formula>NOT(ISERROR(SEARCH("Remote",W38)))</formula>
    </cfRule>
  </conditionalFormatting>
  <dataValidations count="2">
    <dataValidation type="list" allowBlank="1" showInputMessage="1" showErrorMessage="1" sqref="N23:N27 N38:N42 E23:E27 Q23:Q27 H23:H27 K23:K27 Q38:Q42 W23:Y27 T38:T42 E38:E42 K38:K42 H38:H42 T23:T27 W38:Y42" xr:uid="{F7C68590-BF99-4F48-96CC-86558401EBF9}">
      <formula1>"Remote, Office"</formula1>
    </dataValidation>
    <dataValidation type="list" allowBlank="1" showInputMessage="1" showErrorMessage="1" sqref="E10:E14 H10:H14 K10:K14 N10:N14 Q10:Q14 T10:T14 W10:X14" xr:uid="{D0940B9A-EAAA-4AB6-AC4F-1762B9EF380C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0D164684-C5F3-4FC8-AD4F-05CC333597B3}">
          <x14:formula1>
            <xm:f>FormTools!$A$1:$A$48</xm:f>
          </x14:formula1>
          <xm:sqref>U23:V27 C23:D27 F23:G27 I23:J27 U38:V42 O23:P27 L23:M27 I38:J42 C38:D42 F38:G42 L38:M42 O38:P42 R23:S27 R38:S42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5D79-FF88-43C7-880F-6C77286B26EC}">
  <sheetPr codeName="Sheet9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133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134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135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136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137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138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243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337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139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140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103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0.6875</v>
      </c>
      <c r="K23" s="17" t="s">
        <v>11</v>
      </c>
      <c r="L23" s="15">
        <v>0.33333333333333331</v>
      </c>
      <c r="M23" s="15">
        <v>0.6875</v>
      </c>
      <c r="N23" s="17" t="s">
        <v>11</v>
      </c>
      <c r="O23" s="15">
        <v>0.33333333333333331</v>
      </c>
      <c r="P23" s="15">
        <v>0.6875</v>
      </c>
      <c r="Q23" s="17" t="s">
        <v>11</v>
      </c>
      <c r="R23" s="15">
        <v>0.33333333333333331</v>
      </c>
      <c r="S23" s="15">
        <v>0.6875</v>
      </c>
      <c r="T23" s="17" t="s">
        <v>11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34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0.6875</v>
      </c>
      <c r="K38" s="17" t="s">
        <v>11</v>
      </c>
      <c r="L38" s="15">
        <v>0.33333333333333331</v>
      </c>
      <c r="M38" s="15">
        <v>0.6875</v>
      </c>
      <c r="N38" s="17" t="s">
        <v>11</v>
      </c>
      <c r="O38" s="15">
        <v>0.33333333333333331</v>
      </c>
      <c r="P38" s="15">
        <v>0.6875</v>
      </c>
      <c r="Q38" s="17" t="s">
        <v>11</v>
      </c>
      <c r="R38" s="15">
        <v>0.33333333333333331</v>
      </c>
      <c r="S38" s="15">
        <v>0.6875</v>
      </c>
      <c r="T38" s="17" t="s">
        <v>11</v>
      </c>
      <c r="U38" s="15">
        <v>0.33333333333333331</v>
      </c>
      <c r="V38" s="15">
        <v>0.625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7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41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089" priority="52">
      <formula>C50=TRUE</formula>
    </cfRule>
    <cfRule type="expression" dxfId="1088" priority="51">
      <formula>C50=FALSE</formula>
    </cfRule>
  </conditionalFormatting>
  <conditionalFormatting sqref="C30:W30">
    <cfRule type="expression" dxfId="1087" priority="56">
      <formula>C30=TRUE</formula>
    </cfRule>
    <cfRule type="expression" dxfId="1086" priority="55">
      <formula>C30=FALSE</formula>
    </cfRule>
  </conditionalFormatting>
  <conditionalFormatting sqref="C45:W45">
    <cfRule type="expression" dxfId="1085" priority="53">
      <formula>C45=FALSE</formula>
    </cfRule>
    <cfRule type="expression" dxfId="1084" priority="54">
      <formula>C45=TRUE</formula>
    </cfRule>
  </conditionalFormatting>
  <conditionalFormatting sqref="E10:E14">
    <cfRule type="containsText" dxfId="1083" priority="13" operator="containsText" text="Remote">
      <formula>NOT(ISERROR(SEARCH("Remote",E10)))</formula>
    </cfRule>
    <cfRule type="containsText" dxfId="1082" priority="14" operator="containsText" text="Office">
      <formula>NOT(ISERROR(SEARCH("Office",E10)))</formula>
    </cfRule>
  </conditionalFormatting>
  <conditionalFormatting sqref="E23:E27">
    <cfRule type="containsText" dxfId="1081" priority="50" operator="containsText" text="Office">
      <formula>NOT(ISERROR(SEARCH("Office",E23)))</formula>
    </cfRule>
    <cfRule type="containsText" dxfId="1080" priority="49" operator="containsText" text="Remote">
      <formula>NOT(ISERROR(SEARCH("Remote",E23)))</formula>
    </cfRule>
  </conditionalFormatting>
  <conditionalFormatting sqref="E38:E42">
    <cfRule type="containsText" dxfId="1079" priority="35" operator="containsText" text="Remote">
      <formula>NOT(ISERROR(SEARCH("Remote",E38)))</formula>
    </cfRule>
    <cfRule type="containsText" dxfId="1078" priority="36" operator="containsText" text="Office">
      <formula>NOT(ISERROR(SEARCH("Office",E38)))</formula>
    </cfRule>
  </conditionalFormatting>
  <conditionalFormatting sqref="H10:H14">
    <cfRule type="containsText" dxfId="1077" priority="11" operator="containsText" text="Remote">
      <formula>NOT(ISERROR(SEARCH("Remote",H10)))</formula>
    </cfRule>
    <cfRule type="containsText" dxfId="1076" priority="12" operator="containsText" text="Office">
      <formula>NOT(ISERROR(SEARCH("Office",H10)))</formula>
    </cfRule>
  </conditionalFormatting>
  <conditionalFormatting sqref="H23:H27">
    <cfRule type="containsText" dxfId="1075" priority="48" operator="containsText" text="Office">
      <formula>NOT(ISERROR(SEARCH("Office",H23)))</formula>
    </cfRule>
    <cfRule type="containsText" dxfId="1074" priority="47" operator="containsText" text="Remote">
      <formula>NOT(ISERROR(SEARCH("Remote",H23)))</formula>
    </cfRule>
  </conditionalFormatting>
  <conditionalFormatting sqref="H38:H42">
    <cfRule type="containsText" dxfId="1073" priority="34" operator="containsText" text="Office">
      <formula>NOT(ISERROR(SEARCH("Office",H38)))</formula>
    </cfRule>
    <cfRule type="containsText" dxfId="1072" priority="33" operator="containsText" text="Remote">
      <formula>NOT(ISERROR(SEARCH("Remote",H38)))</formula>
    </cfRule>
  </conditionalFormatting>
  <conditionalFormatting sqref="I31:T31">
    <cfRule type="expression" dxfId="1071" priority="59">
      <formula>I31=FALSE</formula>
    </cfRule>
    <cfRule type="expression" dxfId="1070" priority="60">
      <formula>I31=TRUE</formula>
    </cfRule>
  </conditionalFormatting>
  <conditionalFormatting sqref="I46:T46">
    <cfRule type="expression" dxfId="1069" priority="58">
      <formula>I46=TRUE</formula>
    </cfRule>
    <cfRule type="expression" dxfId="1068" priority="57">
      <formula>I46=FALSE</formula>
    </cfRule>
  </conditionalFormatting>
  <conditionalFormatting sqref="K10:K14">
    <cfRule type="containsText" dxfId="1067" priority="9" operator="containsText" text="Remote">
      <formula>NOT(ISERROR(SEARCH("Remote",K10)))</formula>
    </cfRule>
    <cfRule type="containsText" dxfId="1066" priority="10" operator="containsText" text="Office">
      <formula>NOT(ISERROR(SEARCH("Office",K10)))</formula>
    </cfRule>
  </conditionalFormatting>
  <conditionalFormatting sqref="K23:K27">
    <cfRule type="containsText" dxfId="1065" priority="46" operator="containsText" text="Office">
      <formula>NOT(ISERROR(SEARCH("Office",K23)))</formula>
    </cfRule>
    <cfRule type="containsText" dxfId="1064" priority="45" operator="containsText" text="Remote">
      <formula>NOT(ISERROR(SEARCH("Remote",K23)))</formula>
    </cfRule>
  </conditionalFormatting>
  <conditionalFormatting sqref="K38:K42">
    <cfRule type="containsText" dxfId="1063" priority="21" operator="containsText" text="Remote">
      <formula>NOT(ISERROR(SEARCH("Remote",K38)))</formula>
    </cfRule>
    <cfRule type="containsText" dxfId="1062" priority="22" operator="containsText" text="Office">
      <formula>NOT(ISERROR(SEARCH("Office",K38)))</formula>
    </cfRule>
  </conditionalFormatting>
  <conditionalFormatting sqref="N10:N14">
    <cfRule type="containsText" dxfId="1061" priority="8" operator="containsText" text="Office">
      <formula>NOT(ISERROR(SEARCH("Office",N10)))</formula>
    </cfRule>
    <cfRule type="containsText" dxfId="1060" priority="7" operator="containsText" text="Remote">
      <formula>NOT(ISERROR(SEARCH("Remote",N10)))</formula>
    </cfRule>
  </conditionalFormatting>
  <conditionalFormatting sqref="N23:N27">
    <cfRule type="containsText" dxfId="1059" priority="43" operator="containsText" text="Remote">
      <formula>NOT(ISERROR(SEARCH("Remote",N23)))</formula>
    </cfRule>
    <cfRule type="containsText" dxfId="1058" priority="44" operator="containsText" text="Office">
      <formula>NOT(ISERROR(SEARCH("Office",N23)))</formula>
    </cfRule>
  </conditionalFormatting>
  <conditionalFormatting sqref="N38:N42">
    <cfRule type="containsText" dxfId="1057" priority="20" operator="containsText" text="Office">
      <formula>NOT(ISERROR(SEARCH("Office",N38)))</formula>
    </cfRule>
    <cfRule type="containsText" dxfId="1056" priority="19" operator="containsText" text="Remote">
      <formula>NOT(ISERROR(SEARCH("Remote",N38)))</formula>
    </cfRule>
  </conditionalFormatting>
  <conditionalFormatting sqref="Q10:Q14">
    <cfRule type="containsText" dxfId="1055" priority="6" operator="containsText" text="Office">
      <formula>NOT(ISERROR(SEARCH("Office",Q10)))</formula>
    </cfRule>
    <cfRule type="containsText" dxfId="1054" priority="5" operator="containsText" text="Remote">
      <formula>NOT(ISERROR(SEARCH("Remote",Q10)))</formula>
    </cfRule>
  </conditionalFormatting>
  <conditionalFormatting sqref="Q23:Q27">
    <cfRule type="containsText" dxfId="1053" priority="41" operator="containsText" text="Remote">
      <formula>NOT(ISERROR(SEARCH("Remote",Q23)))</formula>
    </cfRule>
    <cfRule type="containsText" dxfId="1052" priority="42" operator="containsText" text="Office">
      <formula>NOT(ISERROR(SEARCH("Office",Q23)))</formula>
    </cfRule>
  </conditionalFormatting>
  <conditionalFormatting sqref="Q38:Q42">
    <cfRule type="containsText" dxfId="1051" priority="18" operator="containsText" text="Office">
      <formula>NOT(ISERROR(SEARCH("Office",Q38)))</formula>
    </cfRule>
    <cfRule type="containsText" dxfId="1050" priority="17" operator="containsText" text="Remote">
      <formula>NOT(ISERROR(SEARCH("Remote",Q38)))</formula>
    </cfRule>
  </conditionalFormatting>
  <conditionalFormatting sqref="T10:T14">
    <cfRule type="containsText" dxfId="1049" priority="4" operator="containsText" text="Office">
      <formula>NOT(ISERROR(SEARCH("Office",T10)))</formula>
    </cfRule>
    <cfRule type="containsText" dxfId="1048" priority="3" operator="containsText" text="Remote">
      <formula>NOT(ISERROR(SEARCH("Remote",T10)))</formula>
    </cfRule>
  </conditionalFormatting>
  <conditionalFormatting sqref="T23:T27">
    <cfRule type="containsText" dxfId="1047" priority="39" operator="containsText" text="Remote">
      <formula>NOT(ISERROR(SEARCH("Remote",T23)))</formula>
    </cfRule>
    <cfRule type="containsText" dxfId="1046" priority="40" operator="containsText" text="Office">
      <formula>NOT(ISERROR(SEARCH("Office",T23)))</formula>
    </cfRule>
  </conditionalFormatting>
  <conditionalFormatting sqref="T38:T42">
    <cfRule type="containsText" dxfId="1045" priority="16" operator="containsText" text="Office">
      <formula>NOT(ISERROR(SEARCH("Office",T38)))</formula>
    </cfRule>
    <cfRule type="containsText" dxfId="1044" priority="15" operator="containsText" text="Remote">
      <formula>NOT(ISERROR(SEARCH("Remote",T38)))</formula>
    </cfRule>
  </conditionalFormatting>
  <conditionalFormatting sqref="W10:W14">
    <cfRule type="containsText" dxfId="1043" priority="1" operator="containsText" text="Remote">
      <formula>NOT(ISERROR(SEARCH("Remote",W10)))</formula>
    </cfRule>
    <cfRule type="containsText" dxfId="1042" priority="2" operator="containsText" text="Office">
      <formula>NOT(ISERROR(SEARCH("Office",W10)))</formula>
    </cfRule>
  </conditionalFormatting>
  <conditionalFormatting sqref="W23:W27">
    <cfRule type="containsText" dxfId="1041" priority="37" operator="containsText" text="Remote">
      <formula>NOT(ISERROR(SEARCH("Remote",W23)))</formula>
    </cfRule>
    <cfRule type="containsText" dxfId="1040" priority="38" operator="containsText" text="Office">
      <formula>NOT(ISERROR(SEARCH("Office",W23)))</formula>
    </cfRule>
  </conditionalFormatting>
  <conditionalFormatting sqref="W38:W42">
    <cfRule type="containsText" dxfId="1039" priority="23" operator="containsText" text="Remote">
      <formula>NOT(ISERROR(SEARCH("Remote",W38)))</formula>
    </cfRule>
    <cfRule type="containsText" dxfId="1038" priority="24" operator="containsText" text="Office">
      <formula>NOT(ISERROR(SEARCH("Office",W38)))</formula>
    </cfRule>
  </conditionalFormatting>
  <dataValidations count="2">
    <dataValidation type="list" allowBlank="1" showInputMessage="1" showErrorMessage="1" sqref="Q23:Q27 W38:Y42 E23:E27 T23:T27 H23:H27 K23:K27 N23:N27 W23:Y27 T38:T42 E38:E42 K38:K42 H38:H42 N38:N42 Q38:Q42" xr:uid="{F4810CF5-AC1D-4121-8040-8FCF3EDF377E}">
      <formula1>"Remote, Office"</formula1>
    </dataValidation>
    <dataValidation type="list" allowBlank="1" showInputMessage="1" showErrorMessage="1" sqref="E10:E14 H10:H14 K10:K14 N10:N14 Q10:Q14 T10:T14 W10:X14" xr:uid="{3146CC9E-6873-41B1-B706-37C5AD572620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86ECB1A3-3694-4982-A532-BA694C8BA4B9}">
          <x14:formula1>
            <xm:f>FormTools!$A$1:$A$48</xm:f>
          </x14:formula1>
          <xm:sqref>U23:V27 C23:D27 F23:G27 I23:J27 I38:J42 L23:M27 O23:P27 U38:V42 C38:D42 F38:G42 L38:M42 O38:P42 R23:S27 R38:S42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0E10-2B11-4438-ADF9-A8CFAE6D7B8C}">
  <sheetPr codeName="Sheet10"/>
  <dimension ref="A1:Y52"/>
  <sheetViews>
    <sheetView topLeftCell="A3"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142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143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144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145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146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147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240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336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148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149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125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0.5</v>
      </c>
      <c r="J23" s="15">
        <v>0.625</v>
      </c>
      <c r="K23" s="17" t="s">
        <v>11</v>
      </c>
      <c r="L23" s="15">
        <v>0.41666666666666669</v>
      </c>
      <c r="M23" s="15">
        <v>0.5625</v>
      </c>
      <c r="N23" s="17" t="s">
        <v>11</v>
      </c>
      <c r="O23" s="15">
        <v>0.41666666666666669</v>
      </c>
      <c r="P23" s="15">
        <v>0.5625</v>
      </c>
      <c r="Q23" s="17" t="s">
        <v>11</v>
      </c>
      <c r="R23" s="15">
        <v>0.5</v>
      </c>
      <c r="S23" s="15">
        <v>0.625</v>
      </c>
      <c r="T23" s="17" t="s">
        <v>11</v>
      </c>
      <c r="U23" s="15">
        <v>0.41666666666666669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3</v>
      </c>
      <c r="J29" s="63"/>
      <c r="K29" s="64"/>
      <c r="L29" s="62" cm="1">
        <f t="array" ref="L29">SUM((M23:M27-L23:L27)*24)</f>
        <v>3.4999999999999996</v>
      </c>
      <c r="M29" s="63"/>
      <c r="N29" s="64"/>
      <c r="O29" s="62" cm="1">
        <f t="array" ref="O29">SUM((P23:P27-O23:O27)*24)</f>
        <v>3.4999999999999996</v>
      </c>
      <c r="P29" s="63"/>
      <c r="Q29" s="64"/>
      <c r="R29" s="62" cm="1">
        <f t="array" ref="R29">SUM((S23:S27-R23:R27)*24)</f>
        <v>3</v>
      </c>
      <c r="S29" s="63"/>
      <c r="T29" s="64"/>
      <c r="U29" s="62" cm="1">
        <f t="array" ref="U29">SUM((V23:V27-U23:U27)*24)</f>
        <v>1.9999999999999996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0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0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0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0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15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0.41666666666666669</v>
      </c>
      <c r="J38" s="15">
        <v>0.625</v>
      </c>
      <c r="K38" s="17" t="s">
        <v>11</v>
      </c>
      <c r="L38" s="15">
        <v>0.41666666666666669</v>
      </c>
      <c r="M38" s="15">
        <v>0.5625</v>
      </c>
      <c r="N38" s="17" t="s">
        <v>11</v>
      </c>
      <c r="O38" s="15">
        <v>0.5</v>
      </c>
      <c r="P38" s="15">
        <v>0.625</v>
      </c>
      <c r="Q38" s="17" t="s">
        <v>11</v>
      </c>
      <c r="R38" s="15">
        <v>0.5</v>
      </c>
      <c r="S38" s="15">
        <v>0.625</v>
      </c>
      <c r="T38" s="17" t="s">
        <v>11</v>
      </c>
      <c r="U38" s="15">
        <v>0.41666666666666669</v>
      </c>
      <c r="V38" s="15">
        <v>0.5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5</v>
      </c>
      <c r="J44" s="63"/>
      <c r="K44" s="64"/>
      <c r="L44" s="62" cm="1">
        <f t="array" ref="L44">SUM((M38:M42-L38:L42)*24)</f>
        <v>3.4999999999999996</v>
      </c>
      <c r="M44" s="63"/>
      <c r="N44" s="64"/>
      <c r="O44" s="62" cm="1">
        <f t="array" ref="O44">SUM((P38:P42-O38:O42)*24)</f>
        <v>3</v>
      </c>
      <c r="P44" s="63"/>
      <c r="Q44" s="64"/>
      <c r="R44" s="62" cm="1">
        <f t="array" ref="R44">SUM((S38:S42-R38:R42)*24)</f>
        <v>3</v>
      </c>
      <c r="S44" s="63"/>
      <c r="T44" s="64"/>
      <c r="U44" s="62" cm="1">
        <f t="array" ref="U44">SUM((V38:V42-U38:U42)*24)</f>
        <v>1.9999999999999996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0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0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0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0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16.5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0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037" priority="56">
      <formula>C50=TRUE</formula>
    </cfRule>
    <cfRule type="expression" dxfId="1036" priority="55">
      <formula>C50=FALSE</formula>
    </cfRule>
  </conditionalFormatting>
  <conditionalFormatting sqref="C30:W30">
    <cfRule type="expression" dxfId="1035" priority="59">
      <formula>C30=FALSE</formula>
    </cfRule>
    <cfRule type="expression" dxfId="1034" priority="60">
      <formula>C30=TRUE</formula>
    </cfRule>
  </conditionalFormatting>
  <conditionalFormatting sqref="C45:W45">
    <cfRule type="expression" dxfId="1033" priority="57">
      <formula>C45=FALSE</formula>
    </cfRule>
    <cfRule type="expression" dxfId="1032" priority="58">
      <formula>C45=TRUE</formula>
    </cfRule>
  </conditionalFormatting>
  <conditionalFormatting sqref="E10:E14">
    <cfRule type="containsText" dxfId="1031" priority="13" operator="containsText" text="Remote">
      <formula>NOT(ISERROR(SEARCH("Remote",E10)))</formula>
    </cfRule>
    <cfRule type="containsText" dxfId="1030" priority="14" operator="containsText" text="Office">
      <formula>NOT(ISERROR(SEARCH("Office",E10)))</formula>
    </cfRule>
  </conditionalFormatting>
  <conditionalFormatting sqref="E23:E27">
    <cfRule type="containsText" dxfId="1029" priority="54" operator="containsText" text="Office">
      <formula>NOT(ISERROR(SEARCH("Office",E23)))</formula>
    </cfRule>
    <cfRule type="containsText" dxfId="1028" priority="53" operator="containsText" text="Remote">
      <formula>NOT(ISERROR(SEARCH("Remote",E23)))</formula>
    </cfRule>
  </conditionalFormatting>
  <conditionalFormatting sqref="E38:E42">
    <cfRule type="containsText" dxfId="1027" priority="39" operator="containsText" text="Remote">
      <formula>NOT(ISERROR(SEARCH("Remote",E38)))</formula>
    </cfRule>
    <cfRule type="containsText" dxfId="1026" priority="40" operator="containsText" text="Office">
      <formula>NOT(ISERROR(SEARCH("Office",E38)))</formula>
    </cfRule>
  </conditionalFormatting>
  <conditionalFormatting sqref="H10:H14">
    <cfRule type="containsText" dxfId="1025" priority="11" operator="containsText" text="Remote">
      <formula>NOT(ISERROR(SEARCH("Remote",H10)))</formula>
    </cfRule>
    <cfRule type="containsText" dxfId="1024" priority="12" operator="containsText" text="Office">
      <formula>NOT(ISERROR(SEARCH("Office",H10)))</formula>
    </cfRule>
  </conditionalFormatting>
  <conditionalFormatting sqref="H23:H27">
    <cfRule type="containsText" dxfId="1023" priority="52" operator="containsText" text="Office">
      <formula>NOT(ISERROR(SEARCH("Office",H23)))</formula>
    </cfRule>
    <cfRule type="containsText" dxfId="1022" priority="51" operator="containsText" text="Remote">
      <formula>NOT(ISERROR(SEARCH("Remote",H23)))</formula>
    </cfRule>
  </conditionalFormatting>
  <conditionalFormatting sqref="H38:H42">
    <cfRule type="containsText" dxfId="1021" priority="37" operator="containsText" text="Remote">
      <formula>NOT(ISERROR(SEARCH("Remote",H38)))</formula>
    </cfRule>
    <cfRule type="containsText" dxfId="1020" priority="38" operator="containsText" text="Office">
      <formula>NOT(ISERROR(SEARCH("Office",H38)))</formula>
    </cfRule>
  </conditionalFormatting>
  <conditionalFormatting sqref="I31:T31">
    <cfRule type="expression" dxfId="1019" priority="64">
      <formula>I31=TRUE</formula>
    </cfRule>
    <cfRule type="expression" dxfId="1018" priority="63">
      <formula>I31=FALSE</formula>
    </cfRule>
  </conditionalFormatting>
  <conditionalFormatting sqref="I46:T46">
    <cfRule type="expression" dxfId="1017" priority="61">
      <formula>I46=FALSE</formula>
    </cfRule>
    <cfRule type="expression" dxfId="1016" priority="62">
      <formula>I46=TRUE</formula>
    </cfRule>
  </conditionalFormatting>
  <conditionalFormatting sqref="K10:K14">
    <cfRule type="containsText" dxfId="1015" priority="10" operator="containsText" text="Office">
      <formula>NOT(ISERROR(SEARCH("Office",K10)))</formula>
    </cfRule>
    <cfRule type="containsText" dxfId="1014" priority="9" operator="containsText" text="Remote">
      <formula>NOT(ISERROR(SEARCH("Remote",K10)))</formula>
    </cfRule>
  </conditionalFormatting>
  <conditionalFormatting sqref="K23:K27">
    <cfRule type="containsText" dxfId="1013" priority="50" operator="containsText" text="Office">
      <formula>NOT(ISERROR(SEARCH("Office",K23)))</formula>
    </cfRule>
    <cfRule type="containsText" dxfId="1012" priority="49" operator="containsText" text="Remote">
      <formula>NOT(ISERROR(SEARCH("Remote",K23)))</formula>
    </cfRule>
  </conditionalFormatting>
  <conditionalFormatting sqref="K38:K42">
    <cfRule type="containsText" dxfId="1011" priority="21" operator="containsText" text="Remote">
      <formula>NOT(ISERROR(SEARCH("Remote",K38)))</formula>
    </cfRule>
    <cfRule type="containsText" dxfId="1010" priority="22" operator="containsText" text="Office">
      <formula>NOT(ISERROR(SEARCH("Office",K38)))</formula>
    </cfRule>
  </conditionalFormatting>
  <conditionalFormatting sqref="N10:N14">
    <cfRule type="containsText" dxfId="1009" priority="4" operator="containsText" text="Office">
      <formula>NOT(ISERROR(SEARCH("Office",N10)))</formula>
    </cfRule>
    <cfRule type="containsText" dxfId="1008" priority="3" operator="containsText" text="Remote">
      <formula>NOT(ISERROR(SEARCH("Remote",N10)))</formula>
    </cfRule>
  </conditionalFormatting>
  <conditionalFormatting sqref="N23:N27">
    <cfRule type="containsText" dxfId="1007" priority="25" operator="containsText" text="Remote">
      <formula>NOT(ISERROR(SEARCH("Remote",N23)))</formula>
    </cfRule>
    <cfRule type="containsText" dxfId="1006" priority="26" operator="containsText" text="Office">
      <formula>NOT(ISERROR(SEARCH("Office",N23)))</formula>
    </cfRule>
  </conditionalFormatting>
  <conditionalFormatting sqref="N38:N42">
    <cfRule type="containsText" dxfId="1005" priority="17" operator="containsText" text="Remote">
      <formula>NOT(ISERROR(SEARCH("Remote",N38)))</formula>
    </cfRule>
    <cfRule type="containsText" dxfId="1004" priority="18" operator="containsText" text="Office">
      <formula>NOT(ISERROR(SEARCH("Office",N38)))</formula>
    </cfRule>
  </conditionalFormatting>
  <conditionalFormatting sqref="Q10:Q14">
    <cfRule type="containsText" dxfId="1003" priority="1" operator="containsText" text="Remote">
      <formula>NOT(ISERROR(SEARCH("Remote",Q10)))</formula>
    </cfRule>
    <cfRule type="containsText" dxfId="1002" priority="2" operator="containsText" text="Office">
      <formula>NOT(ISERROR(SEARCH("Office",Q10)))</formula>
    </cfRule>
  </conditionalFormatting>
  <conditionalFormatting sqref="Q23:Q27">
    <cfRule type="containsText" dxfId="1001" priority="24" operator="containsText" text="Office">
      <formula>NOT(ISERROR(SEARCH("Office",Q23)))</formula>
    </cfRule>
    <cfRule type="containsText" dxfId="1000" priority="23" operator="containsText" text="Remote">
      <formula>NOT(ISERROR(SEARCH("Remote",Q23)))</formula>
    </cfRule>
  </conditionalFormatting>
  <conditionalFormatting sqref="Q38:Q42">
    <cfRule type="containsText" dxfId="999" priority="16" operator="containsText" text="Office">
      <formula>NOT(ISERROR(SEARCH("Office",Q38)))</formula>
    </cfRule>
    <cfRule type="containsText" dxfId="998" priority="15" operator="containsText" text="Remote">
      <formula>NOT(ISERROR(SEARCH("Remote",Q38)))</formula>
    </cfRule>
  </conditionalFormatting>
  <conditionalFormatting sqref="T10:T14">
    <cfRule type="containsText" dxfId="997" priority="7" operator="containsText" text="Remote">
      <formula>NOT(ISERROR(SEARCH("Remote",T10)))</formula>
    </cfRule>
    <cfRule type="containsText" dxfId="996" priority="8" operator="containsText" text="Office">
      <formula>NOT(ISERROR(SEARCH("Office",T10)))</formula>
    </cfRule>
  </conditionalFormatting>
  <conditionalFormatting sqref="T23:T27">
    <cfRule type="containsText" dxfId="995" priority="43" operator="containsText" text="Remote">
      <formula>NOT(ISERROR(SEARCH("Remote",T23)))</formula>
    </cfRule>
    <cfRule type="containsText" dxfId="994" priority="44" operator="containsText" text="Office">
      <formula>NOT(ISERROR(SEARCH("Office",T23)))</formula>
    </cfRule>
  </conditionalFormatting>
  <conditionalFormatting sqref="T38:T42">
    <cfRule type="containsText" dxfId="993" priority="20" operator="containsText" text="Office">
      <formula>NOT(ISERROR(SEARCH("Office",T38)))</formula>
    </cfRule>
    <cfRule type="containsText" dxfId="992" priority="19" operator="containsText" text="Remote">
      <formula>NOT(ISERROR(SEARCH("Remote",T38)))</formula>
    </cfRule>
  </conditionalFormatting>
  <conditionalFormatting sqref="W10:W14">
    <cfRule type="containsText" dxfId="991" priority="6" operator="containsText" text="Office">
      <formula>NOT(ISERROR(SEARCH("Office",W10)))</formula>
    </cfRule>
    <cfRule type="containsText" dxfId="990" priority="5" operator="containsText" text="Remote">
      <formula>NOT(ISERROR(SEARCH("Remote",W10)))</formula>
    </cfRule>
  </conditionalFormatting>
  <conditionalFormatting sqref="W23:W27">
    <cfRule type="containsText" dxfId="989" priority="41" operator="containsText" text="Remote">
      <formula>NOT(ISERROR(SEARCH("Remote",W23)))</formula>
    </cfRule>
    <cfRule type="containsText" dxfId="988" priority="42" operator="containsText" text="Office">
      <formula>NOT(ISERROR(SEARCH("Office",W23)))</formula>
    </cfRule>
  </conditionalFormatting>
  <conditionalFormatting sqref="W38:W42">
    <cfRule type="containsText" dxfId="987" priority="28" operator="containsText" text="Office">
      <formula>NOT(ISERROR(SEARCH("Office",W38)))</formula>
    </cfRule>
    <cfRule type="containsText" dxfId="986" priority="27" operator="containsText" text="Remote">
      <formula>NOT(ISERROR(SEARCH("Remote",W38)))</formula>
    </cfRule>
  </conditionalFormatting>
  <dataValidations count="2">
    <dataValidation type="list" allowBlank="1" showInputMessage="1" showErrorMessage="1" sqref="N23:N27 W38:Y42 E23:E27 T23:T27 H23:H27 K23:K27 Q38:Q42 W23:Y27 T38:T42 E38:E42 K38:K42 H38:H42 Q23:Q27 N38:N42" xr:uid="{A790A42D-AA5C-4F71-88AF-7FFCB3F11CE6}">
      <formula1>"Remote, Office"</formula1>
    </dataValidation>
    <dataValidation type="list" allowBlank="1" showInputMessage="1" showErrorMessage="1" sqref="E10:E14 H10:H14 K10:K14 N10:N14 Q10:Q14 T10:T14 W10:X14" xr:uid="{073EBA2E-6DB4-4518-BCA1-A893A03FBB9A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18F9A635-BC9D-4D36-9113-A5B899D6E706}">
          <x14:formula1>
            <xm:f>FormTools!$A$1:$A$48</xm:f>
          </x14:formula1>
          <xm:sqref>U23:V27 C23:D27 F23:G27 I23:J27 I38:J42 L23:M27 R23:S27 U38:V42 C38:D42 F38:G42 L38:M42 O38:P42 O23:P27 R38:S42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A4C6-0EF7-430C-B114-73A6AF262C89}">
  <sheetPr codeName="Sheet11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150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151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152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153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154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155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248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335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156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157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158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11</v>
      </c>
      <c r="L23" s="15">
        <v>0.35416666666666669</v>
      </c>
      <c r="M23" s="15">
        <v>0.5</v>
      </c>
      <c r="N23" s="17" t="s">
        <v>23</v>
      </c>
      <c r="O23" s="15">
        <v>0.33333333333333331</v>
      </c>
      <c r="P23" s="15">
        <v>0.54166666666666663</v>
      </c>
      <c r="Q23" s="17" t="s">
        <v>11</v>
      </c>
      <c r="R23" s="15">
        <v>0.35416666666666669</v>
      </c>
      <c r="S23" s="15">
        <v>0.5</v>
      </c>
      <c r="T23" s="17" t="s">
        <v>23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0.70833333333333337</v>
      </c>
      <c r="K24" s="17" t="s">
        <v>11</v>
      </c>
      <c r="L24" s="15">
        <v>0.52083333333333337</v>
      </c>
      <c r="M24" s="15">
        <v>0.72916666666666663</v>
      </c>
      <c r="N24" s="17" t="s">
        <v>23</v>
      </c>
      <c r="O24" s="15">
        <v>0.58333333333333337</v>
      </c>
      <c r="P24" s="15">
        <v>0.72916666666666663</v>
      </c>
      <c r="Q24" s="17" t="s">
        <v>11</v>
      </c>
      <c r="R24" s="15">
        <v>0.52083333333333337</v>
      </c>
      <c r="S24" s="15">
        <v>0.72916666666666663</v>
      </c>
      <c r="T24" s="17" t="s">
        <v>23</v>
      </c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8.4999999999999982</v>
      </c>
      <c r="M29" s="63"/>
      <c r="N29" s="64"/>
      <c r="O29" s="62" cm="1">
        <f t="array" ref="O29">SUM((P23:P27-O23:O27)*24)</f>
        <v>8.4999999999999982</v>
      </c>
      <c r="P29" s="63"/>
      <c r="Q29" s="64"/>
      <c r="R29" s="62" cm="1">
        <f t="array" ref="R29">SUM((S23:S27-R23:R27)*24)</f>
        <v>8.4999999999999982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34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</v>
      </c>
      <c r="K38" s="17" t="s">
        <v>11</v>
      </c>
      <c r="L38" s="15">
        <v>0.35416666666666669</v>
      </c>
      <c r="M38" s="15">
        <v>0.5</v>
      </c>
      <c r="N38" s="17" t="s">
        <v>23</v>
      </c>
      <c r="O38" s="15">
        <v>0.33333333333333331</v>
      </c>
      <c r="P38" s="15">
        <v>0.54166666666666663</v>
      </c>
      <c r="Q38" s="17" t="s">
        <v>11</v>
      </c>
      <c r="R38" s="15">
        <v>0.35416666666666669</v>
      </c>
      <c r="S38" s="15">
        <v>0.5</v>
      </c>
      <c r="T38" s="17" t="s">
        <v>23</v>
      </c>
      <c r="U38" s="15">
        <v>0.33333333333333331</v>
      </c>
      <c r="V38" s="15">
        <v>0.5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0.70833333333333337</v>
      </c>
      <c r="K39" s="17" t="s">
        <v>11</v>
      </c>
      <c r="L39" s="15">
        <v>0.52083333333333337</v>
      </c>
      <c r="M39" s="15">
        <v>0.72916666666666663</v>
      </c>
      <c r="N39" s="17" t="s">
        <v>23</v>
      </c>
      <c r="O39" s="15">
        <v>0.58333333333333337</v>
      </c>
      <c r="P39" s="15">
        <v>0.72916666666666663</v>
      </c>
      <c r="Q39" s="17" t="s">
        <v>11</v>
      </c>
      <c r="R39" s="15">
        <v>0.52083333333333337</v>
      </c>
      <c r="S39" s="15">
        <v>0.72916666666666663</v>
      </c>
      <c r="T39" s="17" t="s">
        <v>23</v>
      </c>
      <c r="U39" s="15">
        <v>0.52083333333333337</v>
      </c>
      <c r="V39" s="15">
        <v>0.64583333333333337</v>
      </c>
      <c r="W39" s="17" t="s">
        <v>11</v>
      </c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8.4999999999999982</v>
      </c>
      <c r="M44" s="63"/>
      <c r="N44" s="64"/>
      <c r="O44" s="62" cm="1">
        <f t="array" ref="O44">SUM((P38:P42-O38:O42)*24)</f>
        <v>8.4999999999999982</v>
      </c>
      <c r="P44" s="63"/>
      <c r="Q44" s="64"/>
      <c r="R44" s="62" cm="1">
        <f t="array" ref="R44">SUM((S38:S42-R38:R42)*24)</f>
        <v>8.4999999999999982</v>
      </c>
      <c r="S44" s="63"/>
      <c r="T44" s="64"/>
      <c r="U44" s="62" cm="1">
        <f t="array" ref="U44">SUM((V38:V42-U38:U42)*24)</f>
        <v>7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41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985" priority="58">
      <formula>C50=TRUE</formula>
    </cfRule>
    <cfRule type="expression" dxfId="984" priority="57">
      <formula>C50=FALSE</formula>
    </cfRule>
  </conditionalFormatting>
  <conditionalFormatting sqref="C30:W30">
    <cfRule type="expression" dxfId="983" priority="62">
      <formula>C30=TRUE</formula>
    </cfRule>
    <cfRule type="expression" dxfId="982" priority="61">
      <formula>C30=FALSE</formula>
    </cfRule>
  </conditionalFormatting>
  <conditionalFormatting sqref="C45:W45">
    <cfRule type="expression" dxfId="981" priority="59">
      <formula>C45=FALSE</formula>
    </cfRule>
    <cfRule type="expression" dxfId="980" priority="60">
      <formula>C45=TRUE</formula>
    </cfRule>
  </conditionalFormatting>
  <conditionalFormatting sqref="E10:E14">
    <cfRule type="containsText" dxfId="979" priority="13" operator="containsText" text="Remote">
      <formula>NOT(ISERROR(SEARCH("Remote",E10)))</formula>
    </cfRule>
    <cfRule type="containsText" dxfId="978" priority="14" operator="containsText" text="Office">
      <formula>NOT(ISERROR(SEARCH("Office",E10)))</formula>
    </cfRule>
  </conditionalFormatting>
  <conditionalFormatting sqref="E23:E27">
    <cfRule type="containsText" dxfId="977" priority="56" operator="containsText" text="Office">
      <formula>NOT(ISERROR(SEARCH("Office",E23)))</formula>
    </cfRule>
    <cfRule type="containsText" dxfId="976" priority="55" operator="containsText" text="Remote">
      <formula>NOT(ISERROR(SEARCH("Remote",E23)))</formula>
    </cfRule>
  </conditionalFormatting>
  <conditionalFormatting sqref="E38:E42">
    <cfRule type="containsText" dxfId="975" priority="41" operator="containsText" text="Remote">
      <formula>NOT(ISERROR(SEARCH("Remote",E38)))</formula>
    </cfRule>
    <cfRule type="containsText" dxfId="974" priority="42" operator="containsText" text="Office">
      <formula>NOT(ISERROR(SEARCH("Office",E38)))</formula>
    </cfRule>
  </conditionalFormatting>
  <conditionalFormatting sqref="H10:H14">
    <cfRule type="containsText" dxfId="973" priority="11" operator="containsText" text="Remote">
      <formula>NOT(ISERROR(SEARCH("Remote",H10)))</formula>
    </cfRule>
    <cfRule type="containsText" dxfId="972" priority="12" operator="containsText" text="Office">
      <formula>NOT(ISERROR(SEARCH("Office",H10)))</formula>
    </cfRule>
  </conditionalFormatting>
  <conditionalFormatting sqref="H23:H27">
    <cfRule type="containsText" dxfId="971" priority="54" operator="containsText" text="Office">
      <formula>NOT(ISERROR(SEARCH("Office",H23)))</formula>
    </cfRule>
    <cfRule type="containsText" dxfId="970" priority="53" operator="containsText" text="Remote">
      <formula>NOT(ISERROR(SEARCH("Remote",H23)))</formula>
    </cfRule>
  </conditionalFormatting>
  <conditionalFormatting sqref="H38:H42">
    <cfRule type="containsText" dxfId="969" priority="39" operator="containsText" text="Remote">
      <formula>NOT(ISERROR(SEARCH("Remote",H38)))</formula>
    </cfRule>
    <cfRule type="containsText" dxfId="968" priority="40" operator="containsText" text="Office">
      <formula>NOT(ISERROR(SEARCH("Office",H38)))</formula>
    </cfRule>
  </conditionalFormatting>
  <conditionalFormatting sqref="I31:T31">
    <cfRule type="expression" dxfId="967" priority="65">
      <formula>I31=FALSE</formula>
    </cfRule>
    <cfRule type="expression" dxfId="966" priority="66">
      <formula>I31=TRUE</formula>
    </cfRule>
  </conditionalFormatting>
  <conditionalFormatting sqref="I46:T46">
    <cfRule type="expression" dxfId="965" priority="64">
      <formula>I46=TRUE</formula>
    </cfRule>
    <cfRule type="expression" dxfId="964" priority="63">
      <formula>I46=FALSE</formula>
    </cfRule>
  </conditionalFormatting>
  <conditionalFormatting sqref="K10:K14">
    <cfRule type="containsText" dxfId="963" priority="9" operator="containsText" text="Remote">
      <formula>NOT(ISERROR(SEARCH("Remote",K10)))</formula>
    </cfRule>
    <cfRule type="containsText" dxfId="962" priority="10" operator="containsText" text="Office">
      <formula>NOT(ISERROR(SEARCH("Office",K10)))</formula>
    </cfRule>
  </conditionalFormatting>
  <conditionalFormatting sqref="K23:K27">
    <cfRule type="containsText" dxfId="961" priority="52" operator="containsText" text="Office">
      <formula>NOT(ISERROR(SEARCH("Office",K23)))</formula>
    </cfRule>
    <cfRule type="containsText" dxfId="960" priority="51" operator="containsText" text="Remote">
      <formula>NOT(ISERROR(SEARCH("Remote",K23)))</formula>
    </cfRule>
  </conditionalFormatting>
  <conditionalFormatting sqref="K38:K42">
    <cfRule type="containsText" dxfId="959" priority="21" operator="containsText" text="Remote">
      <formula>NOT(ISERROR(SEARCH("Remote",K38)))</formula>
    </cfRule>
    <cfRule type="containsText" dxfId="958" priority="22" operator="containsText" text="Office">
      <formula>NOT(ISERROR(SEARCH("Office",K38)))</formula>
    </cfRule>
  </conditionalFormatting>
  <conditionalFormatting sqref="N10:N14">
    <cfRule type="containsText" dxfId="957" priority="6" operator="containsText" text="Office">
      <formula>NOT(ISERROR(SEARCH("Office",N10)))</formula>
    </cfRule>
    <cfRule type="containsText" dxfId="956" priority="5" operator="containsText" text="Remote">
      <formula>NOT(ISERROR(SEARCH("Remote",N10)))</formula>
    </cfRule>
  </conditionalFormatting>
  <conditionalFormatting sqref="N23:N27">
    <cfRule type="containsText" dxfId="955" priority="27" operator="containsText" text="Remote">
      <formula>NOT(ISERROR(SEARCH("Remote",N23)))</formula>
    </cfRule>
    <cfRule type="containsText" dxfId="954" priority="28" operator="containsText" text="Office">
      <formula>NOT(ISERROR(SEARCH("Office",N23)))</formula>
    </cfRule>
  </conditionalFormatting>
  <conditionalFormatting sqref="N38:N42">
    <cfRule type="containsText" dxfId="953" priority="20" operator="containsText" text="Office">
      <formula>NOT(ISERROR(SEARCH("Office",N38)))</formula>
    </cfRule>
    <cfRule type="containsText" dxfId="952" priority="19" operator="containsText" text="Remote">
      <formula>NOT(ISERROR(SEARCH("Remote",N38)))</formula>
    </cfRule>
  </conditionalFormatting>
  <conditionalFormatting sqref="Q10:Q14">
    <cfRule type="containsText" dxfId="951" priority="4" operator="containsText" text="Office">
      <formula>NOT(ISERROR(SEARCH("Office",Q10)))</formula>
    </cfRule>
    <cfRule type="containsText" dxfId="950" priority="3" operator="containsText" text="Remote">
      <formula>NOT(ISERROR(SEARCH("Remote",Q10)))</formula>
    </cfRule>
  </conditionalFormatting>
  <conditionalFormatting sqref="Q23:Q27">
    <cfRule type="containsText" dxfId="949" priority="26" operator="containsText" text="Office">
      <formula>NOT(ISERROR(SEARCH("Office",Q23)))</formula>
    </cfRule>
    <cfRule type="containsText" dxfId="948" priority="25" operator="containsText" text="Remote">
      <formula>NOT(ISERROR(SEARCH("Remote",Q23)))</formula>
    </cfRule>
  </conditionalFormatting>
  <conditionalFormatting sqref="Q38:Q42">
    <cfRule type="containsText" dxfId="947" priority="18" operator="containsText" text="Office">
      <formula>NOT(ISERROR(SEARCH("Office",Q38)))</formula>
    </cfRule>
    <cfRule type="containsText" dxfId="946" priority="17" operator="containsText" text="Remote">
      <formula>NOT(ISERROR(SEARCH("Remote",Q38)))</formula>
    </cfRule>
  </conditionalFormatting>
  <conditionalFormatting sqref="T10:T14">
    <cfRule type="containsText" dxfId="945" priority="1" operator="containsText" text="Remote">
      <formula>NOT(ISERROR(SEARCH("Remote",T10)))</formula>
    </cfRule>
    <cfRule type="containsText" dxfId="944" priority="2" operator="containsText" text="Office">
      <formula>NOT(ISERROR(SEARCH("Office",T10)))</formula>
    </cfRule>
  </conditionalFormatting>
  <conditionalFormatting sqref="T23:T27">
    <cfRule type="containsText" dxfId="943" priority="24" operator="containsText" text="Office">
      <formula>NOT(ISERROR(SEARCH("Office",T23)))</formula>
    </cfRule>
    <cfRule type="containsText" dxfId="942" priority="23" operator="containsText" text="Remote">
      <formula>NOT(ISERROR(SEARCH("Remote",T23)))</formula>
    </cfRule>
  </conditionalFormatting>
  <conditionalFormatting sqref="T38:T42">
    <cfRule type="containsText" dxfId="941" priority="16" operator="containsText" text="Office">
      <formula>NOT(ISERROR(SEARCH("Office",T38)))</formula>
    </cfRule>
    <cfRule type="containsText" dxfId="940" priority="15" operator="containsText" text="Remote">
      <formula>NOT(ISERROR(SEARCH("Remote",T38)))</formula>
    </cfRule>
  </conditionalFormatting>
  <conditionalFormatting sqref="W10:W14">
    <cfRule type="containsText" dxfId="939" priority="7" operator="containsText" text="Remote">
      <formula>NOT(ISERROR(SEARCH("Remote",W10)))</formula>
    </cfRule>
    <cfRule type="containsText" dxfId="938" priority="8" operator="containsText" text="Office">
      <formula>NOT(ISERROR(SEARCH("Office",W10)))</formula>
    </cfRule>
  </conditionalFormatting>
  <conditionalFormatting sqref="W23:W27">
    <cfRule type="containsText" dxfId="937" priority="43" operator="containsText" text="Remote">
      <formula>NOT(ISERROR(SEARCH("Remote",W23)))</formula>
    </cfRule>
    <cfRule type="containsText" dxfId="936" priority="44" operator="containsText" text="Office">
      <formula>NOT(ISERROR(SEARCH("Office",W23)))</formula>
    </cfRule>
  </conditionalFormatting>
  <conditionalFormatting sqref="W38:W42">
    <cfRule type="containsText" dxfId="935" priority="29" operator="containsText" text="Remote">
      <formula>NOT(ISERROR(SEARCH("Remote",W38)))</formula>
    </cfRule>
    <cfRule type="containsText" dxfId="934" priority="30" operator="containsText" text="Office">
      <formula>NOT(ISERROR(SEARCH("Office",W38)))</formula>
    </cfRule>
  </conditionalFormatting>
  <dataValidations count="2">
    <dataValidation type="list" allowBlank="1" showInputMessage="1" showErrorMessage="1" sqref="T23:T27 W38:Y42 E23:E27 N23:N27 H23:H27 K23:K27 Q38:Q42 W23:Y27 T38:T42 E38:E42 K38:K42 H38:H42 Q23:Q27 N38:N42" xr:uid="{A0D5FA69-F4D0-4CC6-8CE2-8246C45A764C}">
      <formula1>"Remote, Office"</formula1>
    </dataValidation>
    <dataValidation type="list" allowBlank="1" showInputMessage="1" showErrorMessage="1" sqref="E10:E14 H10:H14 K10:K14 N10:N14 Q10:Q14 T10:T14 W10:X14" xr:uid="{D4A58411-0FD9-44CE-94FA-9D6FC2FAA34B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890E4A18-1B1E-4505-8A76-FED14647D52C}">
          <x14:formula1>
            <xm:f>FormTools!$A$1:$A$48</xm:f>
          </x14:formula1>
          <xm:sqref>U23:V27 C23:D27 F23:G27 I23:J27 I38:J42 R23:S27 L23:M27 U38:V42 C38:D42 F38:G42 L38:M42 O38:P42 O23:P27 R38:S42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7EDA-3A5B-456A-8958-40E49D2018EC}">
  <sheetPr codeName="Sheet12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159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160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161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162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163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164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211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334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165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166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167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0.29166666666666669</v>
      </c>
      <c r="J23" s="15">
        <v>0.66666666666666663</v>
      </c>
      <c r="K23" s="17" t="s">
        <v>11</v>
      </c>
      <c r="L23" s="15">
        <v>0.29166666666666669</v>
      </c>
      <c r="M23" s="15">
        <v>0.66666666666666663</v>
      </c>
      <c r="N23" s="17" t="s">
        <v>11</v>
      </c>
      <c r="O23" s="15">
        <v>0.29166666666666669</v>
      </c>
      <c r="P23" s="15">
        <v>0.64583333333333337</v>
      </c>
      <c r="Q23" s="17" t="s">
        <v>11</v>
      </c>
      <c r="R23" s="15">
        <v>0.29166666666666669</v>
      </c>
      <c r="S23" s="15">
        <v>0.64583333333333337</v>
      </c>
      <c r="T23" s="17" t="s">
        <v>11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8.9999999999999982</v>
      </c>
      <c r="J29" s="63"/>
      <c r="K29" s="64"/>
      <c r="L29" s="62" cm="1">
        <f t="array" ref="L29">SUM((M23:M27-L23:L27)*24)</f>
        <v>8.9999999999999982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35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0.29166666666666669</v>
      </c>
      <c r="J38" s="15">
        <v>0.66666666666666663</v>
      </c>
      <c r="K38" s="17" t="s">
        <v>11</v>
      </c>
      <c r="L38" s="15">
        <v>0.29166666666666669</v>
      </c>
      <c r="M38" s="15">
        <v>0.66666666666666663</v>
      </c>
      <c r="N38" s="17" t="s">
        <v>11</v>
      </c>
      <c r="O38" s="15">
        <v>0.29166666666666669</v>
      </c>
      <c r="P38" s="15">
        <v>0.66666666666666663</v>
      </c>
      <c r="Q38" s="17" t="s">
        <v>11</v>
      </c>
      <c r="R38" s="15">
        <v>0.29166666666666669</v>
      </c>
      <c r="S38" s="15">
        <v>0.66666666666666663</v>
      </c>
      <c r="T38" s="17" t="s">
        <v>11</v>
      </c>
      <c r="U38" s="15">
        <v>0.29166666666666669</v>
      </c>
      <c r="V38" s="15">
        <v>0.45833333333333331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8.9999999999999982</v>
      </c>
      <c r="J44" s="63"/>
      <c r="K44" s="64"/>
      <c r="L44" s="62" cm="1">
        <f t="array" ref="L44">SUM((M38:M42-L38:L42)*24)</f>
        <v>8.9999999999999982</v>
      </c>
      <c r="M44" s="63"/>
      <c r="N44" s="64"/>
      <c r="O44" s="62" cm="1">
        <f t="array" ref="O44">SUM((P38:P42-O38:O42)*24)</f>
        <v>8.9999999999999982</v>
      </c>
      <c r="P44" s="63"/>
      <c r="Q44" s="64"/>
      <c r="R44" s="62" cm="1">
        <f t="array" ref="R44">SUM((S38:S42-R38:R42)*24)</f>
        <v>8.9999999999999982</v>
      </c>
      <c r="S44" s="63"/>
      <c r="T44" s="64"/>
      <c r="U44" s="62" cm="1">
        <f t="array" ref="U44">SUM((V38:V42-U38:U42)*24)</f>
        <v>3.9999999999999991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39.999999999999993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933" priority="62">
      <formula>C50=TRUE</formula>
    </cfRule>
    <cfRule type="expression" dxfId="932" priority="61">
      <formula>C50=FALSE</formula>
    </cfRule>
  </conditionalFormatting>
  <conditionalFormatting sqref="C30:W30">
    <cfRule type="expression" dxfId="931" priority="66">
      <formula>C30=TRUE</formula>
    </cfRule>
    <cfRule type="expression" dxfId="930" priority="65">
      <formula>C30=FALSE</formula>
    </cfRule>
  </conditionalFormatting>
  <conditionalFormatting sqref="C45:W45">
    <cfRule type="expression" dxfId="929" priority="63">
      <formula>C45=FALSE</formula>
    </cfRule>
    <cfRule type="expression" dxfId="928" priority="64">
      <formula>C45=TRUE</formula>
    </cfRule>
  </conditionalFormatting>
  <conditionalFormatting sqref="E10:E14">
    <cfRule type="containsText" dxfId="927" priority="13" operator="containsText" text="Remote">
      <formula>NOT(ISERROR(SEARCH("Remote",E10)))</formula>
    </cfRule>
    <cfRule type="containsText" dxfId="926" priority="14" operator="containsText" text="Office">
      <formula>NOT(ISERROR(SEARCH("Office",E10)))</formula>
    </cfRule>
  </conditionalFormatting>
  <conditionalFormatting sqref="E23:E27">
    <cfRule type="containsText" dxfId="925" priority="60" operator="containsText" text="Office">
      <formula>NOT(ISERROR(SEARCH("Office",E23)))</formula>
    </cfRule>
    <cfRule type="containsText" dxfId="924" priority="59" operator="containsText" text="Remote">
      <formula>NOT(ISERROR(SEARCH("Remote",E23)))</formula>
    </cfRule>
  </conditionalFormatting>
  <conditionalFormatting sqref="E38:E42">
    <cfRule type="containsText" dxfId="923" priority="46" operator="containsText" text="Office">
      <formula>NOT(ISERROR(SEARCH("Office",E38)))</formula>
    </cfRule>
    <cfRule type="containsText" dxfId="922" priority="45" operator="containsText" text="Remote">
      <formula>NOT(ISERROR(SEARCH("Remote",E38)))</formula>
    </cfRule>
  </conditionalFormatting>
  <conditionalFormatting sqref="H10:H14">
    <cfRule type="containsText" dxfId="921" priority="11" operator="containsText" text="Remote">
      <formula>NOT(ISERROR(SEARCH("Remote",H10)))</formula>
    </cfRule>
    <cfRule type="containsText" dxfId="920" priority="12" operator="containsText" text="Office">
      <formula>NOT(ISERROR(SEARCH("Office",H10)))</formula>
    </cfRule>
  </conditionalFormatting>
  <conditionalFormatting sqref="H23:H27">
    <cfRule type="containsText" dxfId="919" priority="58" operator="containsText" text="Office">
      <formula>NOT(ISERROR(SEARCH("Office",H23)))</formula>
    </cfRule>
    <cfRule type="containsText" dxfId="918" priority="57" operator="containsText" text="Remote">
      <formula>NOT(ISERROR(SEARCH("Remote",H23)))</formula>
    </cfRule>
  </conditionalFormatting>
  <conditionalFormatting sqref="H38:H42">
    <cfRule type="containsText" dxfId="917" priority="44" operator="containsText" text="Office">
      <formula>NOT(ISERROR(SEARCH("Office",H38)))</formula>
    </cfRule>
    <cfRule type="containsText" dxfId="916" priority="43" operator="containsText" text="Remote">
      <formula>NOT(ISERROR(SEARCH("Remote",H38)))</formula>
    </cfRule>
  </conditionalFormatting>
  <conditionalFormatting sqref="I31:T31">
    <cfRule type="expression" dxfId="915" priority="69">
      <formula>I31=FALSE</formula>
    </cfRule>
    <cfRule type="expression" dxfId="914" priority="70">
      <formula>I31=TRUE</formula>
    </cfRule>
  </conditionalFormatting>
  <conditionalFormatting sqref="I46:T46">
    <cfRule type="expression" dxfId="913" priority="67">
      <formula>I46=FALSE</formula>
    </cfRule>
    <cfRule type="expression" dxfId="912" priority="68">
      <formula>I46=TRUE</formula>
    </cfRule>
  </conditionalFormatting>
  <conditionalFormatting sqref="K10:K14">
    <cfRule type="containsText" dxfId="911" priority="9" operator="containsText" text="Remote">
      <formula>NOT(ISERROR(SEARCH("Remote",K10)))</formula>
    </cfRule>
    <cfRule type="containsText" dxfId="910" priority="10" operator="containsText" text="Office">
      <formula>NOT(ISERROR(SEARCH("Office",K10)))</formula>
    </cfRule>
  </conditionalFormatting>
  <conditionalFormatting sqref="K23:K27">
    <cfRule type="containsText" dxfId="909" priority="56" operator="containsText" text="Office">
      <formula>NOT(ISERROR(SEARCH("Office",K23)))</formula>
    </cfRule>
    <cfRule type="containsText" dxfId="908" priority="55" operator="containsText" text="Remote">
      <formula>NOT(ISERROR(SEARCH("Remote",K23)))</formula>
    </cfRule>
  </conditionalFormatting>
  <conditionalFormatting sqref="K38:K42">
    <cfRule type="containsText" dxfId="907" priority="23" operator="containsText" text="Remote">
      <formula>NOT(ISERROR(SEARCH("Remote",K38)))</formula>
    </cfRule>
    <cfRule type="containsText" dxfId="906" priority="24" operator="containsText" text="Office">
      <formula>NOT(ISERROR(SEARCH("Office",K38)))</formula>
    </cfRule>
  </conditionalFormatting>
  <conditionalFormatting sqref="N10:N14">
    <cfRule type="containsText" dxfId="905" priority="7" operator="containsText" text="Remote">
      <formula>NOT(ISERROR(SEARCH("Remote",N10)))</formula>
    </cfRule>
    <cfRule type="containsText" dxfId="904" priority="8" operator="containsText" text="Office">
      <formula>NOT(ISERROR(SEARCH("Office",N10)))</formula>
    </cfRule>
  </conditionalFormatting>
  <conditionalFormatting sqref="N23:N27">
    <cfRule type="containsText" dxfId="903" priority="31" operator="containsText" text="Remote">
      <formula>NOT(ISERROR(SEARCH("Remote",N23)))</formula>
    </cfRule>
    <cfRule type="containsText" dxfId="902" priority="32" operator="containsText" text="Office">
      <formula>NOT(ISERROR(SEARCH("Office",N23)))</formula>
    </cfRule>
  </conditionalFormatting>
  <conditionalFormatting sqref="N38:N42">
    <cfRule type="containsText" dxfId="901" priority="22" operator="containsText" text="Office">
      <formula>NOT(ISERROR(SEARCH("Office",N38)))</formula>
    </cfRule>
    <cfRule type="containsText" dxfId="900" priority="21" operator="containsText" text="Remote">
      <formula>NOT(ISERROR(SEARCH("Remote",N38)))</formula>
    </cfRule>
  </conditionalFormatting>
  <conditionalFormatting sqref="Q10:Q14">
    <cfRule type="containsText" dxfId="899" priority="6" operator="containsText" text="Office">
      <formula>NOT(ISERROR(SEARCH("Office",Q10)))</formula>
    </cfRule>
    <cfRule type="containsText" dxfId="898" priority="5" operator="containsText" text="Remote">
      <formula>NOT(ISERROR(SEARCH("Remote",Q10)))</formula>
    </cfRule>
  </conditionalFormatting>
  <conditionalFormatting sqref="Q23:Q27">
    <cfRule type="containsText" dxfId="897" priority="29" operator="containsText" text="Remote">
      <formula>NOT(ISERROR(SEARCH("Remote",Q23)))</formula>
    </cfRule>
    <cfRule type="containsText" dxfId="896" priority="30" operator="containsText" text="Office">
      <formula>NOT(ISERROR(SEARCH("Office",Q23)))</formula>
    </cfRule>
  </conditionalFormatting>
  <conditionalFormatting sqref="Q38:Q42">
    <cfRule type="containsText" dxfId="895" priority="20" operator="containsText" text="Office">
      <formula>NOT(ISERROR(SEARCH("Office",Q38)))</formula>
    </cfRule>
    <cfRule type="containsText" dxfId="894" priority="19" operator="containsText" text="Remote">
      <formula>NOT(ISERROR(SEARCH("Remote",Q38)))</formula>
    </cfRule>
  </conditionalFormatting>
  <conditionalFormatting sqref="T10:T14">
    <cfRule type="containsText" dxfId="893" priority="4" operator="containsText" text="Office">
      <formula>NOT(ISERROR(SEARCH("Office",T10)))</formula>
    </cfRule>
    <cfRule type="containsText" dxfId="892" priority="3" operator="containsText" text="Remote">
      <formula>NOT(ISERROR(SEARCH("Remote",T10)))</formula>
    </cfRule>
  </conditionalFormatting>
  <conditionalFormatting sqref="T23:T27">
    <cfRule type="containsText" dxfId="891" priority="27" operator="containsText" text="Remote">
      <formula>NOT(ISERROR(SEARCH("Remote",T23)))</formula>
    </cfRule>
    <cfRule type="containsText" dxfId="890" priority="28" operator="containsText" text="Office">
      <formula>NOT(ISERROR(SEARCH("Office",T23)))</formula>
    </cfRule>
  </conditionalFormatting>
  <conditionalFormatting sqref="T38:T42">
    <cfRule type="containsText" dxfId="889" priority="18" operator="containsText" text="Office">
      <formula>NOT(ISERROR(SEARCH("Office",T38)))</formula>
    </cfRule>
    <cfRule type="containsText" dxfId="888" priority="17" operator="containsText" text="Remote">
      <formula>NOT(ISERROR(SEARCH("Remote",T38)))</formula>
    </cfRule>
  </conditionalFormatting>
  <conditionalFormatting sqref="W10:W14">
    <cfRule type="containsText" dxfId="887" priority="1" operator="containsText" text="Remote">
      <formula>NOT(ISERROR(SEARCH("Remote",W10)))</formula>
    </cfRule>
    <cfRule type="containsText" dxfId="886" priority="2" operator="containsText" text="Office">
      <formula>NOT(ISERROR(SEARCH("Office",W10)))</formula>
    </cfRule>
  </conditionalFormatting>
  <conditionalFormatting sqref="W23:W27">
    <cfRule type="containsText" dxfId="885" priority="26" operator="containsText" text="Office">
      <formula>NOT(ISERROR(SEARCH("Office",W23)))</formula>
    </cfRule>
    <cfRule type="containsText" dxfId="884" priority="25" operator="containsText" text="Remote">
      <formula>NOT(ISERROR(SEARCH("Remote",W23)))</formula>
    </cfRule>
  </conditionalFormatting>
  <conditionalFormatting sqref="W38:W42">
    <cfRule type="containsText" dxfId="883" priority="16" operator="containsText" text="Office">
      <formula>NOT(ISERROR(SEARCH("Office",W38)))</formula>
    </cfRule>
    <cfRule type="containsText" dxfId="882" priority="15" operator="containsText" text="Remote">
      <formula>NOT(ISERROR(SEARCH("Remote",W38)))</formula>
    </cfRule>
  </conditionalFormatting>
  <dataValidations count="2">
    <dataValidation type="list" allowBlank="1" showInputMessage="1" showErrorMessage="1" sqref="N23:N27 T38:T42 E23:E27 Q23:Q27 H23:H27 K23:K27 K38:K42 T23:T27 N38:N42 E38:E42 Q38:Q42 H38:H42 W23:Y27 W38:Y42" xr:uid="{C513E229-797C-454F-931A-A9AFDA1062D6}">
      <formula1>"Remote, Office"</formula1>
    </dataValidation>
    <dataValidation type="list" allowBlank="1" showInputMessage="1" showErrorMessage="1" sqref="E10:E14 H10:H14 K10:K14 N10:N14 Q10:Q14 T10:T14 W10:X14" xr:uid="{0268E431-8263-484B-BE73-FB5DFBB103D3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8DA8BEC6-4FF6-44C8-87AB-2D4530A2C95D}">
          <x14:formula1>
            <xm:f>FormTools!$A$1:$A$48</xm:f>
          </x14:formula1>
          <xm:sqref>R23:S27 C23:D27 F23:G27 I23:J27 O38:P42 L23:M27 O23:P27 R38:S42 C38:D42 F38:G42 U23:V27 I38:J42 L38:M42 U38:V42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FAC7-0E90-4A4A-A8F3-D2B672767F25}">
  <sheetPr codeName="Sheet13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168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169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170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171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172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173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222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333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174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175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176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0.375</v>
      </c>
      <c r="J23" s="15">
        <v>0.70833333333333337</v>
      </c>
      <c r="K23" s="17" t="s">
        <v>11</v>
      </c>
      <c r="L23" s="15">
        <v>0.375</v>
      </c>
      <c r="M23" s="15">
        <v>0.70833333333333337</v>
      </c>
      <c r="N23" s="17" t="s">
        <v>11</v>
      </c>
      <c r="O23" s="15">
        <v>0.35416666666666669</v>
      </c>
      <c r="P23" s="15">
        <v>0.70833333333333337</v>
      </c>
      <c r="Q23" s="17" t="s">
        <v>11</v>
      </c>
      <c r="R23" s="15">
        <v>0.35416666666666669</v>
      </c>
      <c r="S23" s="15">
        <v>0.70833333333333337</v>
      </c>
      <c r="T23" s="17" t="s">
        <v>11</v>
      </c>
      <c r="U23" s="15">
        <v>0.29166666666666669</v>
      </c>
      <c r="V23" s="15">
        <v>0.58333333333333337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</v>
      </c>
      <c r="J29" s="63"/>
      <c r="K29" s="64"/>
      <c r="L29" s="62" cm="1">
        <f t="array" ref="L29">SUM((M23:M27-L23:L27)*24)</f>
        <v>8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0.35416666666666669</v>
      </c>
      <c r="J38" s="15">
        <v>0.70833333333333337</v>
      </c>
      <c r="K38" s="17" t="s">
        <v>11</v>
      </c>
      <c r="L38" s="15">
        <v>0.33333333333333331</v>
      </c>
      <c r="M38" s="15">
        <v>0.70833333333333337</v>
      </c>
      <c r="N38" s="17" t="s">
        <v>11</v>
      </c>
      <c r="O38" s="15">
        <v>0.33333333333333331</v>
      </c>
      <c r="P38" s="15">
        <v>0.70833333333333337</v>
      </c>
      <c r="Q38" s="17" t="s">
        <v>11</v>
      </c>
      <c r="R38" s="15">
        <v>0.35416666666666669</v>
      </c>
      <c r="S38" s="15">
        <v>0.70833333333333337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9.0000000000000018</v>
      </c>
      <c r="M44" s="63"/>
      <c r="N44" s="64"/>
      <c r="O44" s="62" cm="1">
        <f t="array" ref="O44">SUM((P38:P42-O38:O42)*24)</f>
        <v>9.0000000000000018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35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881" priority="44">
      <formula>C50=TRUE</formula>
    </cfRule>
    <cfRule type="expression" dxfId="880" priority="43">
      <formula>C50=FALSE</formula>
    </cfRule>
  </conditionalFormatting>
  <conditionalFormatting sqref="C30:W30">
    <cfRule type="expression" dxfId="879" priority="48">
      <formula>C30=TRUE</formula>
    </cfRule>
    <cfRule type="expression" dxfId="878" priority="47">
      <formula>C30=FALSE</formula>
    </cfRule>
  </conditionalFormatting>
  <conditionalFormatting sqref="C45:W45">
    <cfRule type="expression" dxfId="877" priority="45">
      <formula>C45=FALSE</formula>
    </cfRule>
    <cfRule type="expression" dxfId="876" priority="46">
      <formula>C45=TRUE</formula>
    </cfRule>
  </conditionalFormatting>
  <conditionalFormatting sqref="E10:E14">
    <cfRule type="containsText" dxfId="875" priority="13" operator="containsText" text="Remote">
      <formula>NOT(ISERROR(SEARCH("Remote",E10)))</formula>
    </cfRule>
    <cfRule type="containsText" dxfId="874" priority="14" operator="containsText" text="Office">
      <formula>NOT(ISERROR(SEARCH("Office",E10)))</formula>
    </cfRule>
  </conditionalFormatting>
  <conditionalFormatting sqref="E23:E27">
    <cfRule type="containsText" dxfId="873" priority="42" operator="containsText" text="Office">
      <formula>NOT(ISERROR(SEARCH("Office",E23)))</formula>
    </cfRule>
    <cfRule type="containsText" dxfId="872" priority="41" operator="containsText" text="Remote">
      <formula>NOT(ISERROR(SEARCH("Remote",E23)))</formula>
    </cfRule>
  </conditionalFormatting>
  <conditionalFormatting sqref="E38:E42">
    <cfRule type="containsText" dxfId="871" priority="27" operator="containsText" text="Remote">
      <formula>NOT(ISERROR(SEARCH("Remote",E38)))</formula>
    </cfRule>
    <cfRule type="containsText" dxfId="870" priority="28" operator="containsText" text="Office">
      <formula>NOT(ISERROR(SEARCH("Office",E38)))</formula>
    </cfRule>
  </conditionalFormatting>
  <conditionalFormatting sqref="H10:H14">
    <cfRule type="containsText" dxfId="869" priority="11" operator="containsText" text="Remote">
      <formula>NOT(ISERROR(SEARCH("Remote",H10)))</formula>
    </cfRule>
    <cfRule type="containsText" dxfId="868" priority="12" operator="containsText" text="Office">
      <formula>NOT(ISERROR(SEARCH("Office",H10)))</formula>
    </cfRule>
  </conditionalFormatting>
  <conditionalFormatting sqref="H23:H27">
    <cfRule type="containsText" dxfId="867" priority="40" operator="containsText" text="Office">
      <formula>NOT(ISERROR(SEARCH("Office",H23)))</formula>
    </cfRule>
    <cfRule type="containsText" dxfId="866" priority="39" operator="containsText" text="Remote">
      <formula>NOT(ISERROR(SEARCH("Remote",H23)))</formula>
    </cfRule>
  </conditionalFormatting>
  <conditionalFormatting sqref="H38:H42">
    <cfRule type="containsText" dxfId="865" priority="26" operator="containsText" text="Office">
      <formula>NOT(ISERROR(SEARCH("Office",H38)))</formula>
    </cfRule>
    <cfRule type="containsText" dxfId="864" priority="25" operator="containsText" text="Remote">
      <formula>NOT(ISERROR(SEARCH("Remote",H38)))</formula>
    </cfRule>
  </conditionalFormatting>
  <conditionalFormatting sqref="I31:T31">
    <cfRule type="expression" dxfId="863" priority="51">
      <formula>I31=FALSE</formula>
    </cfRule>
    <cfRule type="expression" dxfId="862" priority="52">
      <formula>I31=TRUE</formula>
    </cfRule>
  </conditionalFormatting>
  <conditionalFormatting sqref="I46:T46">
    <cfRule type="expression" dxfId="861" priority="49">
      <formula>I46=FALSE</formula>
    </cfRule>
    <cfRule type="expression" dxfId="860" priority="50">
      <formula>I46=TRUE</formula>
    </cfRule>
  </conditionalFormatting>
  <conditionalFormatting sqref="K10:K14">
    <cfRule type="containsText" dxfId="859" priority="9" operator="containsText" text="Remote">
      <formula>NOT(ISERROR(SEARCH("Remote",K10)))</formula>
    </cfRule>
    <cfRule type="containsText" dxfId="858" priority="10" operator="containsText" text="Office">
      <formula>NOT(ISERROR(SEARCH("Office",K10)))</formula>
    </cfRule>
  </conditionalFormatting>
  <conditionalFormatting sqref="K23:K27">
    <cfRule type="containsText" dxfId="857" priority="38" operator="containsText" text="Office">
      <formula>NOT(ISERROR(SEARCH("Office",K23)))</formula>
    </cfRule>
    <cfRule type="containsText" dxfId="856" priority="37" operator="containsText" text="Remote">
      <formula>NOT(ISERROR(SEARCH("Remote",K23)))</formula>
    </cfRule>
  </conditionalFormatting>
  <conditionalFormatting sqref="K38:K42">
    <cfRule type="containsText" dxfId="855" priority="23" operator="containsText" text="Remote">
      <formula>NOT(ISERROR(SEARCH("Remote",K38)))</formula>
    </cfRule>
    <cfRule type="containsText" dxfId="854" priority="24" operator="containsText" text="Office">
      <formula>NOT(ISERROR(SEARCH("Office",K38)))</formula>
    </cfRule>
  </conditionalFormatting>
  <conditionalFormatting sqref="N10:N14">
    <cfRule type="containsText" dxfId="853" priority="7" operator="containsText" text="Remote">
      <formula>NOT(ISERROR(SEARCH("Remote",N10)))</formula>
    </cfRule>
    <cfRule type="containsText" dxfId="852" priority="8" operator="containsText" text="Office">
      <formula>NOT(ISERROR(SEARCH("Office",N10)))</formula>
    </cfRule>
  </conditionalFormatting>
  <conditionalFormatting sqref="N23:N27">
    <cfRule type="containsText" dxfId="851" priority="35" operator="containsText" text="Remote">
      <formula>NOT(ISERROR(SEARCH("Remote",N23)))</formula>
    </cfRule>
    <cfRule type="containsText" dxfId="850" priority="36" operator="containsText" text="Office">
      <formula>NOT(ISERROR(SEARCH("Office",N23)))</formula>
    </cfRule>
  </conditionalFormatting>
  <conditionalFormatting sqref="N38:N42">
    <cfRule type="containsText" dxfId="849" priority="21" operator="containsText" text="Remote">
      <formula>NOT(ISERROR(SEARCH("Remote",N38)))</formula>
    </cfRule>
    <cfRule type="containsText" dxfId="848" priority="22" operator="containsText" text="Office">
      <formula>NOT(ISERROR(SEARCH("Office",N38)))</formula>
    </cfRule>
  </conditionalFormatting>
  <conditionalFormatting sqref="Q10:Q14">
    <cfRule type="containsText" dxfId="847" priority="6" operator="containsText" text="Office">
      <formula>NOT(ISERROR(SEARCH("Office",Q10)))</formula>
    </cfRule>
    <cfRule type="containsText" dxfId="846" priority="5" operator="containsText" text="Remote">
      <formula>NOT(ISERROR(SEARCH("Remote",Q10)))</formula>
    </cfRule>
  </conditionalFormatting>
  <conditionalFormatting sqref="Q23:Q27">
    <cfRule type="containsText" dxfId="845" priority="33" operator="containsText" text="Remote">
      <formula>NOT(ISERROR(SEARCH("Remote",Q23)))</formula>
    </cfRule>
    <cfRule type="containsText" dxfId="844" priority="34" operator="containsText" text="Office">
      <formula>NOT(ISERROR(SEARCH("Office",Q23)))</formula>
    </cfRule>
  </conditionalFormatting>
  <conditionalFormatting sqref="Q38:Q42">
    <cfRule type="containsText" dxfId="843" priority="20" operator="containsText" text="Office">
      <formula>NOT(ISERROR(SEARCH("Office",Q38)))</formula>
    </cfRule>
    <cfRule type="containsText" dxfId="842" priority="19" operator="containsText" text="Remote">
      <formula>NOT(ISERROR(SEARCH("Remote",Q38)))</formula>
    </cfRule>
  </conditionalFormatting>
  <conditionalFormatting sqref="T10:T14">
    <cfRule type="containsText" dxfId="841" priority="4" operator="containsText" text="Office">
      <formula>NOT(ISERROR(SEARCH("Office",T10)))</formula>
    </cfRule>
    <cfRule type="containsText" dxfId="840" priority="3" operator="containsText" text="Remote">
      <formula>NOT(ISERROR(SEARCH("Remote",T10)))</formula>
    </cfRule>
  </conditionalFormatting>
  <conditionalFormatting sqref="T23:T27">
    <cfRule type="containsText" dxfId="839" priority="31" operator="containsText" text="Remote">
      <formula>NOT(ISERROR(SEARCH("Remote",T23)))</formula>
    </cfRule>
    <cfRule type="containsText" dxfId="838" priority="32" operator="containsText" text="Office">
      <formula>NOT(ISERROR(SEARCH("Office",T23)))</formula>
    </cfRule>
  </conditionalFormatting>
  <conditionalFormatting sqref="T38:T42">
    <cfRule type="containsText" dxfId="837" priority="18" operator="containsText" text="Office">
      <formula>NOT(ISERROR(SEARCH("Office",T38)))</formula>
    </cfRule>
    <cfRule type="containsText" dxfId="836" priority="17" operator="containsText" text="Remote">
      <formula>NOT(ISERROR(SEARCH("Remote",T38)))</formula>
    </cfRule>
  </conditionalFormatting>
  <conditionalFormatting sqref="W10:W14">
    <cfRule type="containsText" dxfId="835" priority="1" operator="containsText" text="Remote">
      <formula>NOT(ISERROR(SEARCH("Remote",W10)))</formula>
    </cfRule>
    <cfRule type="containsText" dxfId="834" priority="2" operator="containsText" text="Office">
      <formula>NOT(ISERROR(SEARCH("Office",W10)))</formula>
    </cfRule>
  </conditionalFormatting>
  <conditionalFormatting sqref="W23:W27">
    <cfRule type="containsText" dxfId="833" priority="29" operator="containsText" text="Remote">
      <formula>NOT(ISERROR(SEARCH("Remote",W23)))</formula>
    </cfRule>
    <cfRule type="containsText" dxfId="832" priority="30" operator="containsText" text="Office">
      <formula>NOT(ISERROR(SEARCH("Office",W23)))</formula>
    </cfRule>
  </conditionalFormatting>
  <conditionalFormatting sqref="W38:W42">
    <cfRule type="containsText" dxfId="831" priority="16" operator="containsText" text="Office">
      <formula>NOT(ISERROR(SEARCH("Office",W38)))</formula>
    </cfRule>
    <cfRule type="containsText" dxfId="830" priority="15" operator="containsText" text="Remote">
      <formula>NOT(ISERROR(SEARCH("Remote",W38)))</formula>
    </cfRule>
  </conditionalFormatting>
  <dataValidations count="2">
    <dataValidation type="list" allowBlank="1" showInputMessage="1" showErrorMessage="1" sqref="Q23:Q27 W38:Y42 E23:E27 T23:T27 H23:H27 K23:K27 N23:N27 W23:Y27 Q38:Q42 E38:E42 T38:T42 H38:H42 K38:K42 N38:N42" xr:uid="{58B53863-F096-4B24-ABF4-8AF9E6B8C797}">
      <formula1>"Remote, Office"</formula1>
    </dataValidation>
    <dataValidation type="list" allowBlank="1" showInputMessage="1" showErrorMessage="1" sqref="E10:E14 H10:H14 K10:K14 N10:N14 Q10:Q14 T10:T14 W10:X14" xr:uid="{BCFA6FBA-7523-4F4E-B283-C5C5690BE37A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E664E67E-5A12-4C48-B552-6AC998B50B3B}">
          <x14:formula1>
            <xm:f>FormTools!$A$1:$A$48</xm:f>
          </x14:formula1>
          <xm:sqref>U23:V27 C23:D27 F23:G27 I23:J27 L23:M27 O23:P27 R23:S27 U38:V42 C38:D42 F38:G42 I38:J42 L38:M42 O38:P42 R38:S42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3458-7A3C-4A01-B518-2DE1D7627B15}">
  <sheetPr codeName="Sheet14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177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178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179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180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181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182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255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332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183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184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125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0.375</v>
      </c>
      <c r="J23" s="15">
        <v>0.72916666666666663</v>
      </c>
      <c r="K23" s="17" t="s">
        <v>11</v>
      </c>
      <c r="L23" s="15">
        <v>0.375</v>
      </c>
      <c r="M23" s="15">
        <v>0.72916666666666663</v>
      </c>
      <c r="N23" s="17" t="s">
        <v>11</v>
      </c>
      <c r="O23" s="15">
        <v>0.375</v>
      </c>
      <c r="P23" s="15">
        <v>0.72916666666666663</v>
      </c>
      <c r="Q23" s="17" t="s">
        <v>11</v>
      </c>
      <c r="R23" s="15">
        <v>0.375</v>
      </c>
      <c r="S23" s="15">
        <v>0.72916666666666663</v>
      </c>
      <c r="T23" s="17" t="s">
        <v>11</v>
      </c>
      <c r="U23" s="15">
        <v>0.375</v>
      </c>
      <c r="V23" s="15">
        <v>0.66666666666666663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6.9999999999999991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0.375</v>
      </c>
      <c r="J38" s="15">
        <v>0.72916666666666663</v>
      </c>
      <c r="K38" s="17" t="s">
        <v>11</v>
      </c>
      <c r="L38" s="15">
        <v>0.375</v>
      </c>
      <c r="M38" s="15">
        <v>0.72916666666666663</v>
      </c>
      <c r="N38" s="17" t="s">
        <v>11</v>
      </c>
      <c r="O38" s="15">
        <v>0.375</v>
      </c>
      <c r="P38" s="15">
        <v>0.72916666666666663</v>
      </c>
      <c r="Q38" s="17" t="s">
        <v>11</v>
      </c>
      <c r="R38" s="15">
        <v>0.375</v>
      </c>
      <c r="S38" s="15">
        <v>0.72916666666666663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829" priority="60">
      <formula>C50=TRUE</formula>
    </cfRule>
    <cfRule type="expression" dxfId="828" priority="59">
      <formula>C50=FALSE</formula>
    </cfRule>
  </conditionalFormatting>
  <conditionalFormatting sqref="C30:W30">
    <cfRule type="expression" dxfId="827" priority="64">
      <formula>C30=TRUE</formula>
    </cfRule>
    <cfRule type="expression" dxfId="826" priority="63">
      <formula>C30=FALSE</formula>
    </cfRule>
  </conditionalFormatting>
  <conditionalFormatting sqref="C45:W45">
    <cfRule type="expression" dxfId="825" priority="61">
      <formula>C45=FALSE</formula>
    </cfRule>
    <cfRule type="expression" dxfId="824" priority="62">
      <formula>C45=TRUE</formula>
    </cfRule>
  </conditionalFormatting>
  <conditionalFormatting sqref="E10:E14">
    <cfRule type="containsText" dxfId="823" priority="13" operator="containsText" text="Remote">
      <formula>NOT(ISERROR(SEARCH("Remote",E10)))</formula>
    </cfRule>
    <cfRule type="containsText" dxfId="822" priority="14" operator="containsText" text="Office">
      <formula>NOT(ISERROR(SEARCH("Office",E10)))</formula>
    </cfRule>
  </conditionalFormatting>
  <conditionalFormatting sqref="E23:E27">
    <cfRule type="containsText" dxfId="821" priority="58" operator="containsText" text="Office">
      <formula>NOT(ISERROR(SEARCH("Office",E23)))</formula>
    </cfRule>
    <cfRule type="containsText" dxfId="820" priority="57" operator="containsText" text="Remote">
      <formula>NOT(ISERROR(SEARCH("Remote",E23)))</formula>
    </cfRule>
  </conditionalFormatting>
  <conditionalFormatting sqref="E38:E42">
    <cfRule type="containsText" dxfId="819" priority="44" operator="containsText" text="Office">
      <formula>NOT(ISERROR(SEARCH("Office",E38)))</formula>
    </cfRule>
    <cfRule type="containsText" dxfId="818" priority="43" operator="containsText" text="Remote">
      <formula>NOT(ISERROR(SEARCH("Remote",E38)))</formula>
    </cfRule>
  </conditionalFormatting>
  <conditionalFormatting sqref="H10:H14">
    <cfRule type="containsText" dxfId="817" priority="11" operator="containsText" text="Remote">
      <formula>NOT(ISERROR(SEARCH("Remote",H10)))</formula>
    </cfRule>
    <cfRule type="containsText" dxfId="816" priority="12" operator="containsText" text="Office">
      <formula>NOT(ISERROR(SEARCH("Office",H10)))</formula>
    </cfRule>
  </conditionalFormatting>
  <conditionalFormatting sqref="H23:H27">
    <cfRule type="containsText" dxfId="815" priority="56" operator="containsText" text="Office">
      <formula>NOT(ISERROR(SEARCH("Office",H23)))</formula>
    </cfRule>
    <cfRule type="containsText" dxfId="814" priority="55" operator="containsText" text="Remote">
      <formula>NOT(ISERROR(SEARCH("Remote",H23)))</formula>
    </cfRule>
  </conditionalFormatting>
  <conditionalFormatting sqref="H38:H42">
    <cfRule type="containsText" dxfId="813" priority="41" operator="containsText" text="Remote">
      <formula>NOT(ISERROR(SEARCH("Remote",H38)))</formula>
    </cfRule>
    <cfRule type="containsText" dxfId="812" priority="42" operator="containsText" text="Office">
      <formula>NOT(ISERROR(SEARCH("Office",H38)))</formula>
    </cfRule>
  </conditionalFormatting>
  <conditionalFormatting sqref="I31:T31">
    <cfRule type="expression" dxfId="811" priority="67">
      <formula>I31=FALSE</formula>
    </cfRule>
    <cfRule type="expression" dxfId="810" priority="68">
      <formula>I31=TRUE</formula>
    </cfRule>
  </conditionalFormatting>
  <conditionalFormatting sqref="I46:T46">
    <cfRule type="expression" dxfId="809" priority="66">
      <formula>I46=TRUE</formula>
    </cfRule>
    <cfRule type="expression" dxfId="808" priority="65">
      <formula>I46=FALSE</formula>
    </cfRule>
  </conditionalFormatting>
  <conditionalFormatting sqref="K10:K14">
    <cfRule type="containsText" dxfId="807" priority="9" operator="containsText" text="Remote">
      <formula>NOT(ISERROR(SEARCH("Remote",K10)))</formula>
    </cfRule>
    <cfRule type="containsText" dxfId="806" priority="10" operator="containsText" text="Office">
      <formula>NOT(ISERROR(SEARCH("Office",K10)))</formula>
    </cfRule>
  </conditionalFormatting>
  <conditionalFormatting sqref="K23:K27">
    <cfRule type="containsText" dxfId="805" priority="54" operator="containsText" text="Office">
      <formula>NOT(ISERROR(SEARCH("Office",K23)))</formula>
    </cfRule>
    <cfRule type="containsText" dxfId="804" priority="53" operator="containsText" text="Remote">
      <formula>NOT(ISERROR(SEARCH("Remote",K23)))</formula>
    </cfRule>
  </conditionalFormatting>
  <conditionalFormatting sqref="K38:K42">
    <cfRule type="containsText" dxfId="803" priority="21" operator="containsText" text="Remote">
      <formula>NOT(ISERROR(SEARCH("Remote",K38)))</formula>
    </cfRule>
    <cfRule type="containsText" dxfId="802" priority="22" operator="containsText" text="Office">
      <formula>NOT(ISERROR(SEARCH("Office",K38)))</formula>
    </cfRule>
  </conditionalFormatting>
  <conditionalFormatting sqref="N10:N14">
    <cfRule type="containsText" dxfId="801" priority="8" operator="containsText" text="Office">
      <formula>NOT(ISERROR(SEARCH("Office",N10)))</formula>
    </cfRule>
    <cfRule type="containsText" dxfId="800" priority="7" operator="containsText" text="Remote">
      <formula>NOT(ISERROR(SEARCH("Remote",N10)))</formula>
    </cfRule>
  </conditionalFormatting>
  <conditionalFormatting sqref="N23:N27">
    <cfRule type="containsText" dxfId="799" priority="29" operator="containsText" text="Remote">
      <formula>NOT(ISERROR(SEARCH("Remote",N23)))</formula>
    </cfRule>
    <cfRule type="containsText" dxfId="798" priority="30" operator="containsText" text="Office">
      <formula>NOT(ISERROR(SEARCH("Office",N23)))</formula>
    </cfRule>
  </conditionalFormatting>
  <conditionalFormatting sqref="N38:N42">
    <cfRule type="containsText" dxfId="797" priority="20" operator="containsText" text="Office">
      <formula>NOT(ISERROR(SEARCH("Office",N38)))</formula>
    </cfRule>
    <cfRule type="containsText" dxfId="796" priority="19" operator="containsText" text="Remote">
      <formula>NOT(ISERROR(SEARCH("Remote",N38)))</formula>
    </cfRule>
  </conditionalFormatting>
  <conditionalFormatting sqref="Q10:Q14">
    <cfRule type="containsText" dxfId="795" priority="6" operator="containsText" text="Office">
      <formula>NOT(ISERROR(SEARCH("Office",Q10)))</formula>
    </cfRule>
    <cfRule type="containsText" dxfId="794" priority="5" operator="containsText" text="Remote">
      <formula>NOT(ISERROR(SEARCH("Remote",Q10)))</formula>
    </cfRule>
  </conditionalFormatting>
  <conditionalFormatting sqref="Q23:Q27">
    <cfRule type="containsText" dxfId="793" priority="27" operator="containsText" text="Remote">
      <formula>NOT(ISERROR(SEARCH("Remote",Q23)))</formula>
    </cfRule>
    <cfRule type="containsText" dxfId="792" priority="28" operator="containsText" text="Office">
      <formula>NOT(ISERROR(SEARCH("Office",Q23)))</formula>
    </cfRule>
  </conditionalFormatting>
  <conditionalFormatting sqref="Q38:Q42">
    <cfRule type="containsText" dxfId="791" priority="18" operator="containsText" text="Office">
      <formula>NOT(ISERROR(SEARCH("Office",Q38)))</formula>
    </cfRule>
    <cfRule type="containsText" dxfId="790" priority="17" operator="containsText" text="Remote">
      <formula>NOT(ISERROR(SEARCH("Remote",Q38)))</formula>
    </cfRule>
  </conditionalFormatting>
  <conditionalFormatting sqref="T10:T14">
    <cfRule type="containsText" dxfId="789" priority="4" operator="containsText" text="Office">
      <formula>NOT(ISERROR(SEARCH("Office",T10)))</formula>
    </cfRule>
    <cfRule type="containsText" dxfId="788" priority="3" operator="containsText" text="Remote">
      <formula>NOT(ISERROR(SEARCH("Remote",T10)))</formula>
    </cfRule>
  </conditionalFormatting>
  <conditionalFormatting sqref="T23:T27">
    <cfRule type="containsText" dxfId="787" priority="26" operator="containsText" text="Office">
      <formula>NOT(ISERROR(SEARCH("Office",T23)))</formula>
    </cfRule>
    <cfRule type="containsText" dxfId="786" priority="25" operator="containsText" text="Remote">
      <formula>NOT(ISERROR(SEARCH("Remote",T23)))</formula>
    </cfRule>
  </conditionalFormatting>
  <conditionalFormatting sqref="T38:T42">
    <cfRule type="containsText" dxfId="785" priority="16" operator="containsText" text="Office">
      <formula>NOT(ISERROR(SEARCH("Office",T38)))</formula>
    </cfRule>
    <cfRule type="containsText" dxfId="784" priority="15" operator="containsText" text="Remote">
      <formula>NOT(ISERROR(SEARCH("Remote",T38)))</formula>
    </cfRule>
  </conditionalFormatting>
  <conditionalFormatting sqref="W10:W14">
    <cfRule type="containsText" dxfId="783" priority="1" operator="containsText" text="Remote">
      <formula>NOT(ISERROR(SEARCH("Remote",W10)))</formula>
    </cfRule>
    <cfRule type="containsText" dxfId="782" priority="2" operator="containsText" text="Office">
      <formula>NOT(ISERROR(SEARCH("Office",W10)))</formula>
    </cfRule>
  </conditionalFormatting>
  <conditionalFormatting sqref="W23:W27">
    <cfRule type="containsText" dxfId="781" priority="24" operator="containsText" text="Office">
      <formula>NOT(ISERROR(SEARCH("Office",W23)))</formula>
    </cfRule>
    <cfRule type="containsText" dxfId="780" priority="23" operator="containsText" text="Remote">
      <formula>NOT(ISERROR(SEARCH("Remote",W23)))</formula>
    </cfRule>
  </conditionalFormatting>
  <conditionalFormatting sqref="W38:W42">
    <cfRule type="containsText" dxfId="779" priority="31" operator="containsText" text="Remote">
      <formula>NOT(ISERROR(SEARCH("Remote",W38)))</formula>
    </cfRule>
    <cfRule type="containsText" dxfId="778" priority="32" operator="containsText" text="Office">
      <formula>NOT(ISERROR(SEARCH("Office",W38)))</formula>
    </cfRule>
  </conditionalFormatting>
  <dataValidations count="2">
    <dataValidation type="list" allowBlank="1" showInputMessage="1" showErrorMessage="1" sqref="N23:N27 W38:Y42 E23:E27 Q23:Q27 H23:H27 K23:K27 K38:K42 T23:T27 N38:N42 E38:E42 Q38:Q42 H38:H42 W23:Y27 T38:T42" xr:uid="{1EA176E4-A390-4A2A-AE69-D6E2DD6878CC}">
      <formula1>"Remote, Office"</formula1>
    </dataValidation>
    <dataValidation type="list" allowBlank="1" showInputMessage="1" showErrorMessage="1" sqref="E10:E14 H10:H14 K10:K14 N10:N14 Q10:Q14 T10:T14 W10:X14" xr:uid="{253E7C1D-DD17-4D04-9B05-BA9216BDF994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F6B39CFB-6C65-41F5-B410-1EE236E51F34}">
          <x14:formula1>
            <xm:f>FormTools!$A$1:$A$48</xm:f>
          </x14:formula1>
          <xm:sqref>R23:S27 C23:D27 F23:G27 I23:J27 O38:P42 L23:M27 O23:P27 U38:V42 C38:D42 F38:G42 U23:V27 I38:J42 L38:M42 R38:S42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FF5E-407D-4445-9294-8C86DE2E68B9}">
  <sheetPr codeName="Sheet15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185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186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187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188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176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189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259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331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190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191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82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0.29166666666666669</v>
      </c>
      <c r="J23" s="15">
        <v>0.60416666666666663</v>
      </c>
      <c r="K23" s="17" t="s">
        <v>11</v>
      </c>
      <c r="L23" s="15">
        <v>0.29166666666666669</v>
      </c>
      <c r="M23" s="15">
        <v>0.60416666666666663</v>
      </c>
      <c r="N23" s="17" t="s">
        <v>11</v>
      </c>
      <c r="O23" s="15">
        <v>0.29166666666666669</v>
      </c>
      <c r="P23" s="15">
        <v>0.60416666666666663</v>
      </c>
      <c r="Q23" s="17" t="s">
        <v>11</v>
      </c>
      <c r="R23" s="15">
        <v>0.29166666666666669</v>
      </c>
      <c r="S23" s="15">
        <v>0.60416666666666663</v>
      </c>
      <c r="T23" s="17" t="s">
        <v>11</v>
      </c>
      <c r="U23" s="15">
        <v>0.29166666666666669</v>
      </c>
      <c r="V23" s="15">
        <v>0.54166666666666663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0.625</v>
      </c>
      <c r="J24" s="15">
        <v>0.6875</v>
      </c>
      <c r="K24" s="17" t="s">
        <v>11</v>
      </c>
      <c r="L24" s="15">
        <v>0.625</v>
      </c>
      <c r="M24" s="15">
        <v>0.66666666666666663</v>
      </c>
      <c r="N24" s="17" t="s">
        <v>11</v>
      </c>
      <c r="O24" s="15">
        <v>0.625</v>
      </c>
      <c r="P24" s="15">
        <v>0.66666666666666663</v>
      </c>
      <c r="Q24" s="17" t="s">
        <v>11</v>
      </c>
      <c r="R24" s="15">
        <v>0.625</v>
      </c>
      <c r="S24" s="15">
        <v>0.66666666666666663</v>
      </c>
      <c r="T24" s="17" t="s">
        <v>11</v>
      </c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8.9999999999999982</v>
      </c>
      <c r="J29" s="63"/>
      <c r="K29" s="64"/>
      <c r="L29" s="62" cm="1">
        <f t="array" ref="L29">SUM((M23:M27-L23:L27)*24)</f>
        <v>8.4999999999999964</v>
      </c>
      <c r="M29" s="63"/>
      <c r="N29" s="64"/>
      <c r="O29" s="62" cm="1">
        <f t="array" ref="O29">SUM((P23:P27-O23:O27)*24)</f>
        <v>8.4999999999999964</v>
      </c>
      <c r="P29" s="63"/>
      <c r="Q29" s="64"/>
      <c r="R29" s="62" cm="1">
        <f t="array" ref="R29">SUM((S23:S27-R23:R27)*24)</f>
        <v>8.4999999999999964</v>
      </c>
      <c r="S29" s="63"/>
      <c r="T29" s="64"/>
      <c r="U29" s="62" cm="1">
        <f t="array" ref="U29">SUM((V23:V27-U23:U27)*24)</f>
        <v>5.9999999999999982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40.499999999999986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0.29166666666666669</v>
      </c>
      <c r="J38" s="15">
        <v>0.60416666666666663</v>
      </c>
      <c r="K38" s="17" t="s">
        <v>11</v>
      </c>
      <c r="L38" s="15">
        <v>0.29166666666666669</v>
      </c>
      <c r="M38" s="15">
        <v>0.60416666666666663</v>
      </c>
      <c r="N38" s="17" t="s">
        <v>11</v>
      </c>
      <c r="O38" s="15">
        <v>0.29166666666666669</v>
      </c>
      <c r="P38" s="15">
        <v>0.60416666666666663</v>
      </c>
      <c r="Q38" s="17" t="s">
        <v>11</v>
      </c>
      <c r="R38" s="15">
        <v>0.29166666666666669</v>
      </c>
      <c r="S38" s="15">
        <v>0.60416666666666663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0.625</v>
      </c>
      <c r="J39" s="15">
        <v>0.6875</v>
      </c>
      <c r="K39" s="17" t="s">
        <v>11</v>
      </c>
      <c r="L39" s="15">
        <v>0.625</v>
      </c>
      <c r="M39" s="15">
        <v>0.66666666666666663</v>
      </c>
      <c r="N39" s="17" t="s">
        <v>11</v>
      </c>
      <c r="O39" s="15">
        <v>0.625</v>
      </c>
      <c r="P39" s="15">
        <v>0.66666666666666663</v>
      </c>
      <c r="Q39" s="17" t="s">
        <v>11</v>
      </c>
      <c r="R39" s="15">
        <v>0.625</v>
      </c>
      <c r="S39" s="15">
        <v>0.66666666666666663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8.9999999999999982</v>
      </c>
      <c r="J44" s="63"/>
      <c r="K44" s="64"/>
      <c r="L44" s="62" cm="1">
        <f t="array" ref="L44">SUM((M38:M42-L38:L42)*24)</f>
        <v>8.4999999999999964</v>
      </c>
      <c r="M44" s="63"/>
      <c r="N44" s="64"/>
      <c r="O44" s="62" cm="1">
        <f t="array" ref="O44">SUM((P38:P42-O38:O42)*24)</f>
        <v>8.4999999999999964</v>
      </c>
      <c r="P44" s="63"/>
      <c r="Q44" s="64"/>
      <c r="R44" s="62" cm="1">
        <f t="array" ref="R44">SUM((S38:S42-R38:R42)*24)</f>
        <v>8.4999999999999964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34.499999999999986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777" priority="66">
      <formula>C50=TRUE</formula>
    </cfRule>
    <cfRule type="expression" dxfId="776" priority="65">
      <formula>C50=FALSE</formula>
    </cfRule>
  </conditionalFormatting>
  <conditionalFormatting sqref="C30:W30">
    <cfRule type="expression" dxfId="775" priority="70">
      <formula>C30=TRUE</formula>
    </cfRule>
    <cfRule type="expression" dxfId="774" priority="69">
      <formula>C30=FALSE</formula>
    </cfRule>
  </conditionalFormatting>
  <conditionalFormatting sqref="C45:W45">
    <cfRule type="expression" dxfId="773" priority="67">
      <formula>C45=FALSE</formula>
    </cfRule>
    <cfRule type="expression" dxfId="772" priority="68">
      <formula>C45=TRUE</formula>
    </cfRule>
  </conditionalFormatting>
  <conditionalFormatting sqref="E10:E14">
    <cfRule type="containsText" dxfId="771" priority="13" operator="containsText" text="Remote">
      <formula>NOT(ISERROR(SEARCH("Remote",E10)))</formula>
    </cfRule>
    <cfRule type="containsText" dxfId="770" priority="14" operator="containsText" text="Office">
      <formula>NOT(ISERROR(SEARCH("Office",E10)))</formula>
    </cfRule>
  </conditionalFormatting>
  <conditionalFormatting sqref="E23:E27">
    <cfRule type="containsText" dxfId="769" priority="64" operator="containsText" text="Office">
      <formula>NOT(ISERROR(SEARCH("Office",E23)))</formula>
    </cfRule>
    <cfRule type="containsText" dxfId="768" priority="63" operator="containsText" text="Remote">
      <formula>NOT(ISERROR(SEARCH("Remote",E23)))</formula>
    </cfRule>
  </conditionalFormatting>
  <conditionalFormatting sqref="E38:E42">
    <cfRule type="containsText" dxfId="767" priority="50" operator="containsText" text="Office">
      <formula>NOT(ISERROR(SEARCH("Office",E38)))</formula>
    </cfRule>
    <cfRule type="containsText" dxfId="766" priority="49" operator="containsText" text="Remote">
      <formula>NOT(ISERROR(SEARCH("Remote",E38)))</formula>
    </cfRule>
  </conditionalFormatting>
  <conditionalFormatting sqref="H10:H14">
    <cfRule type="containsText" dxfId="765" priority="11" operator="containsText" text="Remote">
      <formula>NOT(ISERROR(SEARCH("Remote",H10)))</formula>
    </cfRule>
    <cfRule type="containsText" dxfId="764" priority="12" operator="containsText" text="Office">
      <formula>NOT(ISERROR(SEARCH("Office",H10)))</formula>
    </cfRule>
  </conditionalFormatting>
  <conditionalFormatting sqref="H23:H27">
    <cfRule type="containsText" dxfId="763" priority="62" operator="containsText" text="Office">
      <formula>NOT(ISERROR(SEARCH("Office",H23)))</formula>
    </cfRule>
    <cfRule type="containsText" dxfId="762" priority="61" operator="containsText" text="Remote">
      <formula>NOT(ISERROR(SEARCH("Remote",H23)))</formula>
    </cfRule>
  </conditionalFormatting>
  <conditionalFormatting sqref="H38:H42">
    <cfRule type="containsText" dxfId="761" priority="47" operator="containsText" text="Remote">
      <formula>NOT(ISERROR(SEARCH("Remote",H38)))</formula>
    </cfRule>
    <cfRule type="containsText" dxfId="760" priority="48" operator="containsText" text="Office">
      <formula>NOT(ISERROR(SEARCH("Office",H38)))</formula>
    </cfRule>
  </conditionalFormatting>
  <conditionalFormatting sqref="I31:T31">
    <cfRule type="expression" dxfId="759" priority="73">
      <formula>I31=FALSE</formula>
    </cfRule>
    <cfRule type="expression" dxfId="758" priority="74">
      <formula>I31=TRUE</formula>
    </cfRule>
  </conditionalFormatting>
  <conditionalFormatting sqref="I46:T46">
    <cfRule type="expression" dxfId="757" priority="72">
      <formula>I46=TRUE</formula>
    </cfRule>
    <cfRule type="expression" dxfId="756" priority="71">
      <formula>I46=FALSE</formula>
    </cfRule>
  </conditionalFormatting>
  <conditionalFormatting sqref="K10:K14">
    <cfRule type="containsText" dxfId="755" priority="9" operator="containsText" text="Remote">
      <formula>NOT(ISERROR(SEARCH("Remote",K10)))</formula>
    </cfRule>
    <cfRule type="containsText" dxfId="754" priority="10" operator="containsText" text="Office">
      <formula>NOT(ISERROR(SEARCH("Office",K10)))</formula>
    </cfRule>
  </conditionalFormatting>
  <conditionalFormatting sqref="K23:K27">
    <cfRule type="containsText" dxfId="753" priority="60" operator="containsText" text="Office">
      <formula>NOT(ISERROR(SEARCH("Office",K23)))</formula>
    </cfRule>
    <cfRule type="containsText" dxfId="752" priority="59" operator="containsText" text="Remote">
      <formula>NOT(ISERROR(SEARCH("Remote",K23)))</formula>
    </cfRule>
  </conditionalFormatting>
  <conditionalFormatting sqref="K38:K42">
    <cfRule type="containsText" dxfId="751" priority="27" operator="containsText" text="Remote">
      <formula>NOT(ISERROR(SEARCH("Remote",K38)))</formula>
    </cfRule>
    <cfRule type="containsText" dxfId="750" priority="28" operator="containsText" text="Office">
      <formula>NOT(ISERROR(SEARCH("Office",K38)))</formula>
    </cfRule>
  </conditionalFormatting>
  <conditionalFormatting sqref="N10:N14">
    <cfRule type="containsText" dxfId="749" priority="8" operator="containsText" text="Office">
      <formula>NOT(ISERROR(SEARCH("Office",N10)))</formula>
    </cfRule>
    <cfRule type="containsText" dxfId="748" priority="7" operator="containsText" text="Remote">
      <formula>NOT(ISERROR(SEARCH("Remote",N10)))</formula>
    </cfRule>
  </conditionalFormatting>
  <conditionalFormatting sqref="N23:N27">
    <cfRule type="containsText" dxfId="747" priority="35" operator="containsText" text="Remote">
      <formula>NOT(ISERROR(SEARCH("Remote",N23)))</formula>
    </cfRule>
    <cfRule type="containsText" dxfId="746" priority="36" operator="containsText" text="Office">
      <formula>NOT(ISERROR(SEARCH("Office",N23)))</formula>
    </cfRule>
  </conditionalFormatting>
  <conditionalFormatting sqref="N38:N42">
    <cfRule type="containsText" dxfId="745" priority="20" operator="containsText" text="Office">
      <formula>NOT(ISERROR(SEARCH("Office",N38)))</formula>
    </cfRule>
    <cfRule type="containsText" dxfId="744" priority="19" operator="containsText" text="Remote">
      <formula>NOT(ISERROR(SEARCH("Remote",N38)))</formula>
    </cfRule>
  </conditionalFormatting>
  <conditionalFormatting sqref="Q10:Q14">
    <cfRule type="containsText" dxfId="743" priority="6" operator="containsText" text="Office">
      <formula>NOT(ISERROR(SEARCH("Office",Q10)))</formula>
    </cfRule>
    <cfRule type="containsText" dxfId="742" priority="5" operator="containsText" text="Remote">
      <formula>NOT(ISERROR(SEARCH("Remote",Q10)))</formula>
    </cfRule>
  </conditionalFormatting>
  <conditionalFormatting sqref="Q23:Q27">
    <cfRule type="containsText" dxfId="741" priority="33" operator="containsText" text="Remote">
      <formula>NOT(ISERROR(SEARCH("Remote",Q23)))</formula>
    </cfRule>
    <cfRule type="containsText" dxfId="740" priority="34" operator="containsText" text="Office">
      <formula>NOT(ISERROR(SEARCH("Office",Q23)))</formula>
    </cfRule>
  </conditionalFormatting>
  <conditionalFormatting sqref="Q38:Q42">
    <cfRule type="containsText" dxfId="739" priority="18" operator="containsText" text="Office">
      <formula>NOT(ISERROR(SEARCH("Office",Q38)))</formula>
    </cfRule>
    <cfRule type="containsText" dxfId="738" priority="17" operator="containsText" text="Remote">
      <formula>NOT(ISERROR(SEARCH("Remote",Q38)))</formula>
    </cfRule>
  </conditionalFormatting>
  <conditionalFormatting sqref="T10:T14">
    <cfRule type="containsText" dxfId="737" priority="4" operator="containsText" text="Office">
      <formula>NOT(ISERROR(SEARCH("Office",T10)))</formula>
    </cfRule>
    <cfRule type="containsText" dxfId="736" priority="3" operator="containsText" text="Remote">
      <formula>NOT(ISERROR(SEARCH("Remote",T10)))</formula>
    </cfRule>
  </conditionalFormatting>
  <conditionalFormatting sqref="T23:T27">
    <cfRule type="containsText" dxfId="735" priority="32" operator="containsText" text="Office">
      <formula>NOT(ISERROR(SEARCH("Office",T23)))</formula>
    </cfRule>
    <cfRule type="containsText" dxfId="734" priority="31" operator="containsText" text="Remote">
      <formula>NOT(ISERROR(SEARCH("Remote",T23)))</formula>
    </cfRule>
  </conditionalFormatting>
  <conditionalFormatting sqref="T38:T42">
    <cfRule type="containsText" dxfId="733" priority="16" operator="containsText" text="Office">
      <formula>NOT(ISERROR(SEARCH("Office",T38)))</formula>
    </cfRule>
    <cfRule type="containsText" dxfId="732" priority="15" operator="containsText" text="Remote">
      <formula>NOT(ISERROR(SEARCH("Remote",T38)))</formula>
    </cfRule>
  </conditionalFormatting>
  <conditionalFormatting sqref="W10:W14">
    <cfRule type="containsText" dxfId="731" priority="1" operator="containsText" text="Remote">
      <formula>NOT(ISERROR(SEARCH("Remote",W10)))</formula>
    </cfRule>
    <cfRule type="containsText" dxfId="730" priority="2" operator="containsText" text="Office">
      <formula>NOT(ISERROR(SEARCH("Office",W10)))</formula>
    </cfRule>
  </conditionalFormatting>
  <conditionalFormatting sqref="W23:W27">
    <cfRule type="containsText" dxfId="729" priority="30" operator="containsText" text="Office">
      <formula>NOT(ISERROR(SEARCH("Office",W23)))</formula>
    </cfRule>
    <cfRule type="containsText" dxfId="728" priority="29" operator="containsText" text="Remote">
      <formula>NOT(ISERROR(SEARCH("Remote",W23)))</formula>
    </cfRule>
  </conditionalFormatting>
  <conditionalFormatting sqref="W38:W42">
    <cfRule type="containsText" dxfId="727" priority="37" operator="containsText" text="Remote">
      <formula>NOT(ISERROR(SEARCH("Remote",W38)))</formula>
    </cfRule>
    <cfRule type="containsText" dxfId="726" priority="38" operator="containsText" text="Office">
      <formula>NOT(ISERROR(SEARCH("Office",W38)))</formula>
    </cfRule>
  </conditionalFormatting>
  <dataValidations count="2">
    <dataValidation type="list" allowBlank="1" showInputMessage="1" showErrorMessage="1" sqref="N23:N27 W38:Y42 E23:E27 Q23:Q27 H23:H27 K23:K27 Q38:Q42 T23:T27 T38:T42 E38:E42 K38:K42 H38:H42 W23:Y27 N38:N42" xr:uid="{03E5474B-CD8A-4BCE-BFA6-3C20CF474794}">
      <formula1>"Remote, Office"</formula1>
    </dataValidation>
    <dataValidation type="list" allowBlank="1" showInputMessage="1" showErrorMessage="1" sqref="E10:E14 H10:H14 K10:K14 N10:N14 Q10:Q14 T10:T14 W10:X14" xr:uid="{30F0D8C9-E3BE-4697-9453-E638E35F278D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0EFA84CC-2D5F-4581-A9E6-78209E7BB3E6}">
          <x14:formula1>
            <xm:f>FormTools!$A$1:$A$48</xm:f>
          </x14:formula1>
          <xm:sqref>R23:S27 C23:D27 F23:G27 I23:J27 I38:J42 L23:M27 O23:P27 U38:V42 C38:D42 F38:G42 L38:M42 O38:P42 U23:V27 R38:S42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B921-39A0-4D01-8E79-EF925F0F2FE6}">
  <sheetPr codeName="Sheet16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192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193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194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195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196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197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220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330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198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199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103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0.3125</v>
      </c>
      <c r="J23" s="15">
        <v>0.66666666666666663</v>
      </c>
      <c r="K23" s="17" t="s">
        <v>11</v>
      </c>
      <c r="L23" s="15">
        <v>0.3125</v>
      </c>
      <c r="M23" s="15">
        <v>0.66666666666666663</v>
      </c>
      <c r="N23" s="17" t="s">
        <v>11</v>
      </c>
      <c r="O23" s="15">
        <v>0.3125</v>
      </c>
      <c r="P23" s="15">
        <v>0.66666666666666663</v>
      </c>
      <c r="Q23" s="17" t="s">
        <v>11</v>
      </c>
      <c r="R23" s="15">
        <v>0.3125</v>
      </c>
      <c r="S23" s="15">
        <v>0.66666666666666663</v>
      </c>
      <c r="T23" s="17" t="s">
        <v>11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34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0.3125</v>
      </c>
      <c r="J38" s="15">
        <v>0.66666666666666663</v>
      </c>
      <c r="K38" s="17" t="s">
        <v>11</v>
      </c>
      <c r="L38" s="15">
        <v>0.3125</v>
      </c>
      <c r="M38" s="15">
        <v>0.66666666666666663</v>
      </c>
      <c r="N38" s="17" t="s">
        <v>11</v>
      </c>
      <c r="O38" s="15">
        <v>0.3125</v>
      </c>
      <c r="P38" s="15">
        <v>0.66666666666666663</v>
      </c>
      <c r="Q38" s="17" t="s">
        <v>11</v>
      </c>
      <c r="R38" s="15">
        <v>0.3125</v>
      </c>
      <c r="S38" s="15">
        <v>0.66666666666666663</v>
      </c>
      <c r="T38" s="17" t="s">
        <v>11</v>
      </c>
      <c r="U38" s="15">
        <v>0.33333333333333331</v>
      </c>
      <c r="V38" s="15">
        <v>0.625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7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41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725" priority="60">
      <formula>C50=TRUE</formula>
    </cfRule>
    <cfRule type="expression" dxfId="724" priority="59">
      <formula>C50=FALSE</formula>
    </cfRule>
  </conditionalFormatting>
  <conditionalFormatting sqref="C30:W30">
    <cfRule type="expression" dxfId="723" priority="63">
      <formula>C30=FALSE</formula>
    </cfRule>
    <cfRule type="expression" dxfId="722" priority="64">
      <formula>C30=TRUE</formula>
    </cfRule>
  </conditionalFormatting>
  <conditionalFormatting sqref="C45:W45">
    <cfRule type="expression" dxfId="721" priority="62">
      <formula>C45=TRUE</formula>
    </cfRule>
    <cfRule type="expression" dxfId="720" priority="61">
      <formula>C45=FALSE</formula>
    </cfRule>
  </conditionalFormatting>
  <conditionalFormatting sqref="E10:E14">
    <cfRule type="containsText" dxfId="719" priority="13" operator="containsText" text="Remote">
      <formula>NOT(ISERROR(SEARCH("Remote",E10)))</formula>
    </cfRule>
    <cfRule type="containsText" dxfId="718" priority="14" operator="containsText" text="Office">
      <formula>NOT(ISERROR(SEARCH("Office",E10)))</formula>
    </cfRule>
  </conditionalFormatting>
  <conditionalFormatting sqref="E23:E27">
    <cfRule type="containsText" dxfId="717" priority="58" operator="containsText" text="Office">
      <formula>NOT(ISERROR(SEARCH("Office",E23)))</formula>
    </cfRule>
    <cfRule type="containsText" dxfId="716" priority="57" operator="containsText" text="Remote">
      <formula>NOT(ISERROR(SEARCH("Remote",E23)))</formula>
    </cfRule>
  </conditionalFormatting>
  <conditionalFormatting sqref="E38:E42">
    <cfRule type="containsText" dxfId="715" priority="44" operator="containsText" text="Office">
      <formula>NOT(ISERROR(SEARCH("Office",E38)))</formula>
    </cfRule>
    <cfRule type="containsText" dxfId="714" priority="43" operator="containsText" text="Remote">
      <formula>NOT(ISERROR(SEARCH("Remote",E38)))</formula>
    </cfRule>
  </conditionalFormatting>
  <conditionalFormatting sqref="H10:H14">
    <cfRule type="containsText" dxfId="713" priority="11" operator="containsText" text="Remote">
      <formula>NOT(ISERROR(SEARCH("Remote",H10)))</formula>
    </cfRule>
    <cfRule type="containsText" dxfId="712" priority="12" operator="containsText" text="Office">
      <formula>NOT(ISERROR(SEARCH("Office",H10)))</formula>
    </cfRule>
  </conditionalFormatting>
  <conditionalFormatting sqref="H23:H27">
    <cfRule type="containsText" dxfId="711" priority="56" operator="containsText" text="Office">
      <formula>NOT(ISERROR(SEARCH("Office",H23)))</formula>
    </cfRule>
    <cfRule type="containsText" dxfId="710" priority="55" operator="containsText" text="Remote">
      <formula>NOT(ISERROR(SEARCH("Remote",H23)))</formula>
    </cfRule>
  </conditionalFormatting>
  <conditionalFormatting sqref="H38:H42">
    <cfRule type="containsText" dxfId="709" priority="42" operator="containsText" text="Office">
      <formula>NOT(ISERROR(SEARCH("Office",H38)))</formula>
    </cfRule>
    <cfRule type="containsText" dxfId="708" priority="41" operator="containsText" text="Remote">
      <formula>NOT(ISERROR(SEARCH("Remote",H38)))</formula>
    </cfRule>
  </conditionalFormatting>
  <conditionalFormatting sqref="I31:T31">
    <cfRule type="expression" dxfId="707" priority="67">
      <formula>I31=FALSE</formula>
    </cfRule>
    <cfRule type="expression" dxfId="706" priority="68">
      <formula>I31=TRUE</formula>
    </cfRule>
  </conditionalFormatting>
  <conditionalFormatting sqref="I46:T46">
    <cfRule type="expression" dxfId="705" priority="65">
      <formula>I46=FALSE</formula>
    </cfRule>
    <cfRule type="expression" dxfId="704" priority="66">
      <formula>I46=TRUE</formula>
    </cfRule>
  </conditionalFormatting>
  <conditionalFormatting sqref="K10:K14">
    <cfRule type="containsText" dxfId="703" priority="9" operator="containsText" text="Remote">
      <formula>NOT(ISERROR(SEARCH("Remote",K10)))</formula>
    </cfRule>
    <cfRule type="containsText" dxfId="702" priority="10" operator="containsText" text="Office">
      <formula>NOT(ISERROR(SEARCH("Office",K10)))</formula>
    </cfRule>
  </conditionalFormatting>
  <conditionalFormatting sqref="K23:K27">
    <cfRule type="containsText" dxfId="701" priority="54" operator="containsText" text="Office">
      <formula>NOT(ISERROR(SEARCH("Office",K23)))</formula>
    </cfRule>
    <cfRule type="containsText" dxfId="700" priority="53" operator="containsText" text="Remote">
      <formula>NOT(ISERROR(SEARCH("Remote",K23)))</formula>
    </cfRule>
  </conditionalFormatting>
  <conditionalFormatting sqref="K38:K42">
    <cfRule type="containsText" dxfId="699" priority="23" operator="containsText" text="Remote">
      <formula>NOT(ISERROR(SEARCH("Remote",K38)))</formula>
    </cfRule>
    <cfRule type="containsText" dxfId="698" priority="24" operator="containsText" text="Office">
      <formula>NOT(ISERROR(SEARCH("Office",K38)))</formula>
    </cfRule>
  </conditionalFormatting>
  <conditionalFormatting sqref="N10:N14">
    <cfRule type="containsText" dxfId="697" priority="5" operator="containsText" text="Remote">
      <formula>NOT(ISERROR(SEARCH("Remote",N10)))</formula>
    </cfRule>
    <cfRule type="containsText" dxfId="696" priority="6" operator="containsText" text="Office">
      <formula>NOT(ISERROR(SEARCH("Office",N10)))</formula>
    </cfRule>
  </conditionalFormatting>
  <conditionalFormatting sqref="N23:N27">
    <cfRule type="containsText" dxfId="695" priority="29" operator="containsText" text="Remote">
      <formula>NOT(ISERROR(SEARCH("Remote",N23)))</formula>
    </cfRule>
    <cfRule type="containsText" dxfId="694" priority="30" operator="containsText" text="Office">
      <formula>NOT(ISERROR(SEARCH("Office",N23)))</formula>
    </cfRule>
  </conditionalFormatting>
  <conditionalFormatting sqref="N38:N42">
    <cfRule type="containsText" dxfId="693" priority="21" operator="containsText" text="Remote">
      <formula>NOT(ISERROR(SEARCH("Remote",N38)))</formula>
    </cfRule>
    <cfRule type="containsText" dxfId="692" priority="22" operator="containsText" text="Office">
      <formula>NOT(ISERROR(SEARCH("Office",N38)))</formula>
    </cfRule>
  </conditionalFormatting>
  <conditionalFormatting sqref="Q10:Q14">
    <cfRule type="containsText" dxfId="691" priority="4" operator="containsText" text="Office">
      <formula>NOT(ISERROR(SEARCH("Office",Q10)))</formula>
    </cfRule>
    <cfRule type="containsText" dxfId="690" priority="3" operator="containsText" text="Remote">
      <formula>NOT(ISERROR(SEARCH("Remote",Q10)))</formula>
    </cfRule>
  </conditionalFormatting>
  <conditionalFormatting sqref="Q23:Q27">
    <cfRule type="containsText" dxfId="689" priority="28" operator="containsText" text="Office">
      <formula>NOT(ISERROR(SEARCH("Office",Q23)))</formula>
    </cfRule>
    <cfRule type="containsText" dxfId="688" priority="27" operator="containsText" text="Remote">
      <formula>NOT(ISERROR(SEARCH("Remote",Q23)))</formula>
    </cfRule>
  </conditionalFormatting>
  <conditionalFormatting sqref="Q38:Q42">
    <cfRule type="containsText" dxfId="687" priority="20" operator="containsText" text="Office">
      <formula>NOT(ISERROR(SEARCH("Office",Q38)))</formula>
    </cfRule>
    <cfRule type="containsText" dxfId="686" priority="19" operator="containsText" text="Remote">
      <formula>NOT(ISERROR(SEARCH("Remote",Q38)))</formula>
    </cfRule>
  </conditionalFormatting>
  <conditionalFormatting sqref="T10:T14">
    <cfRule type="containsText" dxfId="685" priority="2" operator="containsText" text="Office">
      <formula>NOT(ISERROR(SEARCH("Office",T10)))</formula>
    </cfRule>
    <cfRule type="containsText" dxfId="684" priority="1" operator="containsText" text="Remote">
      <formula>NOT(ISERROR(SEARCH("Remote",T10)))</formula>
    </cfRule>
  </conditionalFormatting>
  <conditionalFormatting sqref="T23:T27">
    <cfRule type="containsText" dxfId="683" priority="26" operator="containsText" text="Office">
      <formula>NOT(ISERROR(SEARCH("Office",T23)))</formula>
    </cfRule>
    <cfRule type="containsText" dxfId="682" priority="25" operator="containsText" text="Remote">
      <formula>NOT(ISERROR(SEARCH("Remote",T23)))</formula>
    </cfRule>
  </conditionalFormatting>
  <conditionalFormatting sqref="T38:T42">
    <cfRule type="containsText" dxfId="681" priority="17" operator="containsText" text="Remote">
      <formula>NOT(ISERROR(SEARCH("Remote",T38)))</formula>
    </cfRule>
    <cfRule type="containsText" dxfId="680" priority="18" operator="containsText" text="Office">
      <formula>NOT(ISERROR(SEARCH("Office",T38)))</formula>
    </cfRule>
  </conditionalFormatting>
  <conditionalFormatting sqref="W10:W14">
    <cfRule type="containsText" dxfId="679" priority="7" operator="containsText" text="Remote">
      <formula>NOT(ISERROR(SEARCH("Remote",W10)))</formula>
    </cfRule>
    <cfRule type="containsText" dxfId="678" priority="8" operator="containsText" text="Office">
      <formula>NOT(ISERROR(SEARCH("Office",W10)))</formula>
    </cfRule>
  </conditionalFormatting>
  <conditionalFormatting sqref="W23:W27">
    <cfRule type="containsText" dxfId="677" priority="45" operator="containsText" text="Remote">
      <formula>NOT(ISERROR(SEARCH("Remote",W23)))</formula>
    </cfRule>
    <cfRule type="containsText" dxfId="676" priority="46" operator="containsText" text="Office">
      <formula>NOT(ISERROR(SEARCH("Office",W23)))</formula>
    </cfRule>
  </conditionalFormatting>
  <conditionalFormatting sqref="W38:W42">
    <cfRule type="containsText" dxfId="675" priority="16" operator="containsText" text="Office">
      <formula>NOT(ISERROR(SEARCH("Office",W38)))</formula>
    </cfRule>
    <cfRule type="containsText" dxfId="674" priority="15" operator="containsText" text="Remote">
      <formula>NOT(ISERROR(SEARCH("Remote",W38)))</formula>
    </cfRule>
  </conditionalFormatting>
  <dataValidations count="2">
    <dataValidation type="list" allowBlank="1" showInputMessage="1" showErrorMessage="1" sqref="N23:N27 T38:T42 E23:E27 Q23:Q27 H23:H27 K23:K27 K38:K42 W23:Y27 N38:N42 E38:E42 Q38:Q42 H38:H42 T23:T27 W38:Y42" xr:uid="{238028BE-CD72-4083-8B03-9B47958D4BFD}">
      <formula1>"Remote, Office"</formula1>
    </dataValidation>
    <dataValidation type="list" allowBlank="1" showInputMessage="1" showErrorMessage="1" sqref="E10:E14 H10:H14 K10:K14 N10:N14 Q10:Q14 T10:T14 W10:X14" xr:uid="{BBA0F23C-5F98-413C-9E40-AC2773E94252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31124BC0-D635-4462-AAB2-D7E9B38D3D28}">
          <x14:formula1>
            <xm:f>FormTools!$A$1:$A$48</xm:f>
          </x14:formula1>
          <xm:sqref>U23:V27 C23:D27 F23:G27 I23:J27 O38:P42 L23:M27 O23:P27 R38:S42 C38:D42 F38:G42 R23:S27 I38:J42 L38:M42 U38:V42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C2A4-3A69-4771-BB3D-5E97B1A86AFA}">
  <sheetPr codeName="Sheet17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200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201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202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203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204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205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232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329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206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207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176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0.35416666666666669</v>
      </c>
      <c r="J23" s="15">
        <v>0.5625</v>
      </c>
      <c r="K23" s="17" t="s">
        <v>11</v>
      </c>
      <c r="L23" s="15">
        <v>0.35416666666666669</v>
      </c>
      <c r="M23" s="15">
        <v>0.5625</v>
      </c>
      <c r="N23" s="17" t="s">
        <v>11</v>
      </c>
      <c r="O23" s="15">
        <v>0.35416666666666669</v>
      </c>
      <c r="P23" s="15">
        <v>0.5625</v>
      </c>
      <c r="Q23" s="17" t="s">
        <v>11</v>
      </c>
      <c r="R23" s="15">
        <v>0.35416666666666669</v>
      </c>
      <c r="S23" s="15">
        <v>0.5625</v>
      </c>
      <c r="T23" s="17" t="s">
        <v>11</v>
      </c>
      <c r="U23" s="15">
        <v>0.35416666666666669</v>
      </c>
      <c r="V23" s="15">
        <v>0.64583333333333337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0.58333333333333337</v>
      </c>
      <c r="J24" s="15">
        <v>0.72916666666666663</v>
      </c>
      <c r="K24" s="17" t="s">
        <v>11</v>
      </c>
      <c r="L24" s="15">
        <v>0.58333333333333337</v>
      </c>
      <c r="M24" s="15">
        <v>0.72916666666666663</v>
      </c>
      <c r="N24" s="17" t="s">
        <v>11</v>
      </c>
      <c r="O24" s="15">
        <v>0.58333333333333337</v>
      </c>
      <c r="P24" s="15">
        <v>0.72916666666666663</v>
      </c>
      <c r="Q24" s="17" t="s">
        <v>11</v>
      </c>
      <c r="R24" s="15">
        <v>0.58333333333333337</v>
      </c>
      <c r="S24" s="15">
        <v>0.72916666666666663</v>
      </c>
      <c r="T24" s="17" t="s">
        <v>11</v>
      </c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8.4999999999999982</v>
      </c>
      <c r="J29" s="63"/>
      <c r="K29" s="64"/>
      <c r="L29" s="62" cm="1">
        <f t="array" ref="L29">SUM((M23:M27-L23:L27)*24)</f>
        <v>8.4999999999999982</v>
      </c>
      <c r="M29" s="63"/>
      <c r="N29" s="64"/>
      <c r="O29" s="62" cm="1">
        <f t="array" ref="O29">SUM((P23:P27-O23:O27)*24)</f>
        <v>8.4999999999999982</v>
      </c>
      <c r="P29" s="63"/>
      <c r="Q29" s="64"/>
      <c r="R29" s="62" cm="1">
        <f t="array" ref="R29">SUM((S23:S27-R23:R27)*24)</f>
        <v>8.4999999999999982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40.999999999999993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0.35416666666666669</v>
      </c>
      <c r="J38" s="15">
        <v>0.5625</v>
      </c>
      <c r="K38" s="17" t="s">
        <v>11</v>
      </c>
      <c r="L38" s="15">
        <v>0.35416666666666669</v>
      </c>
      <c r="M38" s="15">
        <v>0.5625</v>
      </c>
      <c r="N38" s="17" t="s">
        <v>11</v>
      </c>
      <c r="O38" s="15">
        <v>0.35416666666666669</v>
      </c>
      <c r="P38" s="15">
        <v>0.5625</v>
      </c>
      <c r="Q38" s="17" t="s">
        <v>11</v>
      </c>
      <c r="R38" s="15">
        <v>0.35416666666666669</v>
      </c>
      <c r="S38" s="15">
        <v>0.5625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0.58333333333333337</v>
      </c>
      <c r="J39" s="15">
        <v>0.72916666666666663</v>
      </c>
      <c r="K39" s="17" t="s">
        <v>11</v>
      </c>
      <c r="L39" s="15">
        <v>0.58333333333333337</v>
      </c>
      <c r="M39" s="15">
        <v>0.72916666666666663</v>
      </c>
      <c r="N39" s="17" t="s">
        <v>11</v>
      </c>
      <c r="O39" s="15">
        <v>0.58333333333333337</v>
      </c>
      <c r="P39" s="15">
        <v>0.72916666666666663</v>
      </c>
      <c r="Q39" s="17" t="s">
        <v>11</v>
      </c>
      <c r="R39" s="15">
        <v>0.58333333333333337</v>
      </c>
      <c r="S39" s="15">
        <v>0.72916666666666663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8.4999999999999982</v>
      </c>
      <c r="J44" s="63"/>
      <c r="K44" s="64"/>
      <c r="L44" s="62" cm="1">
        <f t="array" ref="L44">SUM((M38:M42-L38:L42)*24)</f>
        <v>8.4999999999999982</v>
      </c>
      <c r="M44" s="63"/>
      <c r="N44" s="64"/>
      <c r="O44" s="62" cm="1">
        <f t="array" ref="O44">SUM((P38:P42-O38:O42)*24)</f>
        <v>8.4999999999999982</v>
      </c>
      <c r="P44" s="63"/>
      <c r="Q44" s="64"/>
      <c r="R44" s="62" cm="1">
        <f t="array" ref="R44">SUM((S38:S42-R38:R42)*24)</f>
        <v>8.4999999999999982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33.999999999999993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673" priority="58">
      <formula>C50=TRUE</formula>
    </cfRule>
    <cfRule type="expression" dxfId="672" priority="57">
      <formula>C50=FALSE</formula>
    </cfRule>
  </conditionalFormatting>
  <conditionalFormatting sqref="C30:W30">
    <cfRule type="expression" dxfId="671" priority="62">
      <formula>C30=TRUE</formula>
    </cfRule>
    <cfRule type="expression" dxfId="670" priority="61">
      <formula>C30=FALSE</formula>
    </cfRule>
  </conditionalFormatting>
  <conditionalFormatting sqref="C45:W45">
    <cfRule type="expression" dxfId="669" priority="59">
      <formula>C45=FALSE</formula>
    </cfRule>
    <cfRule type="expression" dxfId="668" priority="60">
      <formula>C45=TRUE</formula>
    </cfRule>
  </conditionalFormatting>
  <conditionalFormatting sqref="E10:E14">
    <cfRule type="containsText" dxfId="667" priority="13" operator="containsText" text="Remote">
      <formula>NOT(ISERROR(SEARCH("Remote",E10)))</formula>
    </cfRule>
    <cfRule type="containsText" dxfId="666" priority="14" operator="containsText" text="Office">
      <formula>NOT(ISERROR(SEARCH("Office",E10)))</formula>
    </cfRule>
  </conditionalFormatting>
  <conditionalFormatting sqref="E23:E27">
    <cfRule type="containsText" dxfId="665" priority="56" operator="containsText" text="Office">
      <formula>NOT(ISERROR(SEARCH("Office",E23)))</formula>
    </cfRule>
    <cfRule type="containsText" dxfId="664" priority="55" operator="containsText" text="Remote">
      <formula>NOT(ISERROR(SEARCH("Remote",E23)))</formula>
    </cfRule>
  </conditionalFormatting>
  <conditionalFormatting sqref="E38:E42">
    <cfRule type="containsText" dxfId="663" priority="41" operator="containsText" text="Remote">
      <formula>NOT(ISERROR(SEARCH("Remote",E38)))</formula>
    </cfRule>
    <cfRule type="containsText" dxfId="662" priority="42" operator="containsText" text="Office">
      <formula>NOT(ISERROR(SEARCH("Office",E38)))</formula>
    </cfRule>
  </conditionalFormatting>
  <conditionalFormatting sqref="H10:H14">
    <cfRule type="containsText" dxfId="661" priority="11" operator="containsText" text="Remote">
      <formula>NOT(ISERROR(SEARCH("Remote",H10)))</formula>
    </cfRule>
    <cfRule type="containsText" dxfId="660" priority="12" operator="containsText" text="Office">
      <formula>NOT(ISERROR(SEARCH("Office",H10)))</formula>
    </cfRule>
  </conditionalFormatting>
  <conditionalFormatting sqref="H23:H27">
    <cfRule type="containsText" dxfId="659" priority="54" operator="containsText" text="Office">
      <formula>NOT(ISERROR(SEARCH("Office",H23)))</formula>
    </cfRule>
    <cfRule type="containsText" dxfId="658" priority="53" operator="containsText" text="Remote">
      <formula>NOT(ISERROR(SEARCH("Remote",H23)))</formula>
    </cfRule>
  </conditionalFormatting>
  <conditionalFormatting sqref="H38:H42">
    <cfRule type="containsText" dxfId="657" priority="39" operator="containsText" text="Remote">
      <formula>NOT(ISERROR(SEARCH("Remote",H38)))</formula>
    </cfRule>
    <cfRule type="containsText" dxfId="656" priority="40" operator="containsText" text="Office">
      <formula>NOT(ISERROR(SEARCH("Office",H38)))</formula>
    </cfRule>
  </conditionalFormatting>
  <conditionalFormatting sqref="I31:T31">
    <cfRule type="expression" dxfId="655" priority="65">
      <formula>I31=FALSE</formula>
    </cfRule>
    <cfRule type="expression" dxfId="654" priority="66">
      <formula>I31=TRUE</formula>
    </cfRule>
  </conditionalFormatting>
  <conditionalFormatting sqref="I46:T46">
    <cfRule type="expression" dxfId="653" priority="64">
      <formula>I46=TRUE</formula>
    </cfRule>
    <cfRule type="expression" dxfId="652" priority="63">
      <formula>I46=FALSE</formula>
    </cfRule>
  </conditionalFormatting>
  <conditionalFormatting sqref="K10:K14">
    <cfRule type="containsText" dxfId="651" priority="9" operator="containsText" text="Remote">
      <formula>NOT(ISERROR(SEARCH("Remote",K10)))</formula>
    </cfRule>
    <cfRule type="containsText" dxfId="650" priority="10" operator="containsText" text="Office">
      <formula>NOT(ISERROR(SEARCH("Office",K10)))</formula>
    </cfRule>
  </conditionalFormatting>
  <conditionalFormatting sqref="K23:K27">
    <cfRule type="containsText" dxfId="649" priority="52" operator="containsText" text="Office">
      <formula>NOT(ISERROR(SEARCH("Office",K23)))</formula>
    </cfRule>
    <cfRule type="containsText" dxfId="648" priority="51" operator="containsText" text="Remote">
      <formula>NOT(ISERROR(SEARCH("Remote",K23)))</formula>
    </cfRule>
  </conditionalFormatting>
  <conditionalFormatting sqref="K38:K42">
    <cfRule type="containsText" dxfId="647" priority="21" operator="containsText" text="Remote">
      <formula>NOT(ISERROR(SEARCH("Remote",K38)))</formula>
    </cfRule>
    <cfRule type="containsText" dxfId="646" priority="22" operator="containsText" text="Office">
      <formula>NOT(ISERROR(SEARCH("Office",K38)))</formula>
    </cfRule>
  </conditionalFormatting>
  <conditionalFormatting sqref="N10:N14">
    <cfRule type="containsText" dxfId="645" priority="6" operator="containsText" text="Office">
      <formula>NOT(ISERROR(SEARCH("Office",N10)))</formula>
    </cfRule>
    <cfRule type="containsText" dxfId="644" priority="5" operator="containsText" text="Remote">
      <formula>NOT(ISERROR(SEARCH("Remote",N10)))</formula>
    </cfRule>
  </conditionalFormatting>
  <conditionalFormatting sqref="N23:N27">
    <cfRule type="containsText" dxfId="643" priority="27" operator="containsText" text="Remote">
      <formula>NOT(ISERROR(SEARCH("Remote",N23)))</formula>
    </cfRule>
    <cfRule type="containsText" dxfId="642" priority="28" operator="containsText" text="Office">
      <formula>NOT(ISERROR(SEARCH("Office",N23)))</formula>
    </cfRule>
  </conditionalFormatting>
  <conditionalFormatting sqref="N38:N42">
    <cfRule type="containsText" dxfId="641" priority="20" operator="containsText" text="Office">
      <formula>NOT(ISERROR(SEARCH("Office",N38)))</formula>
    </cfRule>
    <cfRule type="containsText" dxfId="640" priority="19" operator="containsText" text="Remote">
      <formula>NOT(ISERROR(SEARCH("Remote",N38)))</formula>
    </cfRule>
  </conditionalFormatting>
  <conditionalFormatting sqref="Q10:Q14">
    <cfRule type="containsText" dxfId="639" priority="4" operator="containsText" text="Office">
      <formula>NOT(ISERROR(SEARCH("Office",Q10)))</formula>
    </cfRule>
    <cfRule type="containsText" dxfId="638" priority="3" operator="containsText" text="Remote">
      <formula>NOT(ISERROR(SEARCH("Remote",Q10)))</formula>
    </cfRule>
  </conditionalFormatting>
  <conditionalFormatting sqref="Q23:Q27">
    <cfRule type="containsText" dxfId="637" priority="26" operator="containsText" text="Office">
      <formula>NOT(ISERROR(SEARCH("Office",Q23)))</formula>
    </cfRule>
    <cfRule type="containsText" dxfId="636" priority="25" operator="containsText" text="Remote">
      <formula>NOT(ISERROR(SEARCH("Remote",Q23)))</formula>
    </cfRule>
  </conditionalFormatting>
  <conditionalFormatting sqref="Q38:Q42">
    <cfRule type="containsText" dxfId="635" priority="18" operator="containsText" text="Office">
      <formula>NOT(ISERROR(SEARCH("Office",Q38)))</formula>
    </cfRule>
    <cfRule type="containsText" dxfId="634" priority="17" operator="containsText" text="Remote">
      <formula>NOT(ISERROR(SEARCH("Remote",Q38)))</formula>
    </cfRule>
  </conditionalFormatting>
  <conditionalFormatting sqref="T10:T14">
    <cfRule type="containsText" dxfId="633" priority="1" operator="containsText" text="Remote">
      <formula>NOT(ISERROR(SEARCH("Remote",T10)))</formula>
    </cfRule>
    <cfRule type="containsText" dxfId="632" priority="2" operator="containsText" text="Office">
      <formula>NOT(ISERROR(SEARCH("Office",T10)))</formula>
    </cfRule>
  </conditionalFormatting>
  <conditionalFormatting sqref="T23:T27">
    <cfRule type="containsText" dxfId="631" priority="24" operator="containsText" text="Office">
      <formula>NOT(ISERROR(SEARCH("Office",T23)))</formula>
    </cfRule>
    <cfRule type="containsText" dxfId="630" priority="23" operator="containsText" text="Remote">
      <formula>NOT(ISERROR(SEARCH("Remote",T23)))</formula>
    </cfRule>
  </conditionalFormatting>
  <conditionalFormatting sqref="T38:T42">
    <cfRule type="containsText" dxfId="629" priority="16" operator="containsText" text="Office">
      <formula>NOT(ISERROR(SEARCH("Office",T38)))</formula>
    </cfRule>
    <cfRule type="containsText" dxfId="628" priority="15" operator="containsText" text="Remote">
      <formula>NOT(ISERROR(SEARCH("Remote",T38)))</formula>
    </cfRule>
  </conditionalFormatting>
  <conditionalFormatting sqref="W10:W14">
    <cfRule type="containsText" dxfId="627" priority="7" operator="containsText" text="Remote">
      <formula>NOT(ISERROR(SEARCH("Remote",W10)))</formula>
    </cfRule>
    <cfRule type="containsText" dxfId="626" priority="8" operator="containsText" text="Office">
      <formula>NOT(ISERROR(SEARCH("Office",W10)))</formula>
    </cfRule>
  </conditionalFormatting>
  <conditionalFormatting sqref="W23:W27">
    <cfRule type="containsText" dxfId="625" priority="43" operator="containsText" text="Remote">
      <formula>NOT(ISERROR(SEARCH("Remote",W23)))</formula>
    </cfRule>
    <cfRule type="containsText" dxfId="624" priority="44" operator="containsText" text="Office">
      <formula>NOT(ISERROR(SEARCH("Office",W23)))</formula>
    </cfRule>
  </conditionalFormatting>
  <conditionalFormatting sqref="W38:W42">
    <cfRule type="containsText" dxfId="623" priority="29" operator="containsText" text="Remote">
      <formula>NOT(ISERROR(SEARCH("Remote",W38)))</formula>
    </cfRule>
    <cfRule type="containsText" dxfId="622" priority="30" operator="containsText" text="Office">
      <formula>NOT(ISERROR(SEARCH("Office",W38)))</formula>
    </cfRule>
  </conditionalFormatting>
  <dataValidations count="2">
    <dataValidation type="list" allowBlank="1" showInputMessage="1" showErrorMessage="1" sqref="N23:N27 W38:Y42 E23:E27 Q23:Q27 H23:H27 K23:K27 K38:K42 W23:Y27 N38:N42 E38:E42 Q38:Q42 H38:H42 T23:T27 T38:T42" xr:uid="{7E1BDFBD-FB1C-459A-A5D8-3E57C25F2E71}">
      <formula1>"Remote, Office"</formula1>
    </dataValidation>
    <dataValidation type="list" allowBlank="1" showInputMessage="1" showErrorMessage="1" sqref="E10:E14 H10:H14 K10:K14 N10:N14 Q10:Q14 T10:T14 W10:X14" xr:uid="{D9392CBE-0CC4-4E60-A5C6-661921990573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545F3826-6355-43A2-B0F5-67A521CBADDF}">
          <x14:formula1>
            <xm:f>FormTools!$A$1:$A$48</xm:f>
          </x14:formula1>
          <xm:sqref>U23:V27 C23:D27 F23:G27 I23:J27 O38:P42 L23:M27 O23:P27 U38:V42 C38:D42 F38:G42 R23:S27 I38:J42 L38:M42 R38:S42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C389-E473-470A-B481-04E80DA2529D}">
  <sheetPr codeName="Sheet18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208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209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210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211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212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213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230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328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214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215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216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0.35416666666666669</v>
      </c>
      <c r="J23" s="15">
        <v>0.72916666666666663</v>
      </c>
      <c r="K23" s="17" t="s">
        <v>23</v>
      </c>
      <c r="L23" s="15">
        <v>0.35416666666666669</v>
      </c>
      <c r="M23" s="15">
        <v>0.72916666666666663</v>
      </c>
      <c r="N23" s="17" t="s">
        <v>23</v>
      </c>
      <c r="O23" s="15">
        <v>0.35416666666666669</v>
      </c>
      <c r="P23" s="15">
        <v>0.72916666666666663</v>
      </c>
      <c r="Q23" s="17" t="s">
        <v>23</v>
      </c>
      <c r="R23" s="15">
        <v>0.35416666666666669</v>
      </c>
      <c r="S23" s="15">
        <v>0.72916666666666663</v>
      </c>
      <c r="T23" s="17" t="s">
        <v>23</v>
      </c>
      <c r="U23" s="15">
        <v>0.375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8.9999999999999982</v>
      </c>
      <c r="J29" s="63"/>
      <c r="K29" s="64"/>
      <c r="L29" s="62" cm="1">
        <f t="array" ref="L29">SUM((M23:M27-L23:L27)*24)</f>
        <v>8.9999999999999982</v>
      </c>
      <c r="M29" s="63"/>
      <c r="N29" s="64"/>
      <c r="O29" s="62" cm="1">
        <f t="array" ref="O29">SUM((P23:P27-O23:O27)*24)</f>
        <v>8.9999999999999982</v>
      </c>
      <c r="P29" s="63"/>
      <c r="Q29" s="64"/>
      <c r="R29" s="62" cm="1">
        <f t="array" ref="R29">SUM((S23:S27-R23:R27)*24)</f>
        <v>8.9999999999999982</v>
      </c>
      <c r="S29" s="63"/>
      <c r="T29" s="64"/>
      <c r="U29" s="62" cm="1">
        <f t="array" ref="U29">SUM((V23:V27-U23:U27)*24)</f>
        <v>3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38.999999999999993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0.35416666666666669</v>
      </c>
      <c r="J38" s="15">
        <v>0.72916666666666663</v>
      </c>
      <c r="K38" s="17" t="s">
        <v>23</v>
      </c>
      <c r="L38" s="15">
        <v>0.35416666666666669</v>
      </c>
      <c r="M38" s="15">
        <v>0.72916666666666663</v>
      </c>
      <c r="N38" s="17" t="s">
        <v>23</v>
      </c>
      <c r="O38" s="15">
        <v>0.35416666666666669</v>
      </c>
      <c r="P38" s="15">
        <v>0.72916666666666663</v>
      </c>
      <c r="Q38" s="17" t="s">
        <v>23</v>
      </c>
      <c r="R38" s="15">
        <v>0.35416666666666669</v>
      </c>
      <c r="S38" s="15">
        <v>0.72916666666666663</v>
      </c>
      <c r="T38" s="17" t="s">
        <v>23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8.9999999999999982</v>
      </c>
      <c r="J44" s="63"/>
      <c r="K44" s="64"/>
      <c r="L44" s="62" cm="1">
        <f t="array" ref="L44">SUM((M38:M42-L38:L42)*24)</f>
        <v>8.9999999999999982</v>
      </c>
      <c r="M44" s="63"/>
      <c r="N44" s="64"/>
      <c r="O44" s="62" cm="1">
        <f t="array" ref="O44">SUM((P38:P42-O38:O42)*24)</f>
        <v>8.9999999999999982</v>
      </c>
      <c r="P44" s="63"/>
      <c r="Q44" s="64"/>
      <c r="R44" s="62" cm="1">
        <f t="array" ref="R44">SUM((S38:S42-R38:R42)*24)</f>
        <v>8.9999999999999982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35.999999999999993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621" priority="60">
      <formula>C50=TRUE</formula>
    </cfRule>
    <cfRule type="expression" dxfId="620" priority="59">
      <formula>C50=FALSE</formula>
    </cfRule>
  </conditionalFormatting>
  <conditionalFormatting sqref="C30:W30">
    <cfRule type="expression" dxfId="619" priority="64">
      <formula>C30=TRUE</formula>
    </cfRule>
    <cfRule type="expression" dxfId="618" priority="63">
      <formula>C30=FALSE</formula>
    </cfRule>
  </conditionalFormatting>
  <conditionalFormatting sqref="C45:W45">
    <cfRule type="expression" dxfId="617" priority="61">
      <formula>C45=FALSE</formula>
    </cfRule>
    <cfRule type="expression" dxfId="616" priority="62">
      <formula>C45=TRUE</formula>
    </cfRule>
  </conditionalFormatting>
  <conditionalFormatting sqref="E10:E14">
    <cfRule type="containsText" dxfId="615" priority="13" operator="containsText" text="Remote">
      <formula>NOT(ISERROR(SEARCH("Remote",E10)))</formula>
    </cfRule>
    <cfRule type="containsText" dxfId="614" priority="14" operator="containsText" text="Office">
      <formula>NOT(ISERROR(SEARCH("Office",E10)))</formula>
    </cfRule>
  </conditionalFormatting>
  <conditionalFormatting sqref="E23:E27">
    <cfRule type="containsText" dxfId="613" priority="58" operator="containsText" text="Office">
      <formula>NOT(ISERROR(SEARCH("Office",E23)))</formula>
    </cfRule>
    <cfRule type="containsText" dxfId="612" priority="57" operator="containsText" text="Remote">
      <formula>NOT(ISERROR(SEARCH("Remote",E23)))</formula>
    </cfRule>
  </conditionalFormatting>
  <conditionalFormatting sqref="E38:E42">
    <cfRule type="containsText" dxfId="611" priority="44" operator="containsText" text="Office">
      <formula>NOT(ISERROR(SEARCH("Office",E38)))</formula>
    </cfRule>
    <cfRule type="containsText" dxfId="610" priority="43" operator="containsText" text="Remote">
      <formula>NOT(ISERROR(SEARCH("Remote",E38)))</formula>
    </cfRule>
  </conditionalFormatting>
  <conditionalFormatting sqref="H10:H14">
    <cfRule type="containsText" dxfId="609" priority="11" operator="containsText" text="Remote">
      <formula>NOT(ISERROR(SEARCH("Remote",H10)))</formula>
    </cfRule>
    <cfRule type="containsText" dxfId="608" priority="12" operator="containsText" text="Office">
      <formula>NOT(ISERROR(SEARCH("Office",H10)))</formula>
    </cfRule>
  </conditionalFormatting>
  <conditionalFormatting sqref="H23:H27">
    <cfRule type="containsText" dxfId="607" priority="56" operator="containsText" text="Office">
      <formula>NOT(ISERROR(SEARCH("Office",H23)))</formula>
    </cfRule>
    <cfRule type="containsText" dxfId="606" priority="55" operator="containsText" text="Remote">
      <formula>NOT(ISERROR(SEARCH("Remote",H23)))</formula>
    </cfRule>
  </conditionalFormatting>
  <conditionalFormatting sqref="H38:H42">
    <cfRule type="containsText" dxfId="605" priority="41" operator="containsText" text="Remote">
      <formula>NOT(ISERROR(SEARCH("Remote",H38)))</formula>
    </cfRule>
    <cfRule type="containsText" dxfId="604" priority="42" operator="containsText" text="Office">
      <formula>NOT(ISERROR(SEARCH("Office",H38)))</formula>
    </cfRule>
  </conditionalFormatting>
  <conditionalFormatting sqref="I31:T31">
    <cfRule type="expression" dxfId="603" priority="67">
      <formula>I31=FALSE</formula>
    </cfRule>
    <cfRule type="expression" dxfId="602" priority="68">
      <formula>I31=TRUE</formula>
    </cfRule>
  </conditionalFormatting>
  <conditionalFormatting sqref="I46:T46">
    <cfRule type="expression" dxfId="601" priority="66">
      <formula>I46=TRUE</formula>
    </cfRule>
    <cfRule type="expression" dxfId="600" priority="65">
      <formula>I46=FALSE</formula>
    </cfRule>
  </conditionalFormatting>
  <conditionalFormatting sqref="K10:K14">
    <cfRule type="containsText" dxfId="599" priority="9" operator="containsText" text="Remote">
      <formula>NOT(ISERROR(SEARCH("Remote",K10)))</formula>
    </cfRule>
    <cfRule type="containsText" dxfId="598" priority="10" operator="containsText" text="Office">
      <formula>NOT(ISERROR(SEARCH("Office",K10)))</formula>
    </cfRule>
  </conditionalFormatting>
  <conditionalFormatting sqref="K23:K27">
    <cfRule type="containsText" dxfId="597" priority="54" operator="containsText" text="Office">
      <formula>NOT(ISERROR(SEARCH("Office",K23)))</formula>
    </cfRule>
    <cfRule type="containsText" dxfId="596" priority="53" operator="containsText" text="Remote">
      <formula>NOT(ISERROR(SEARCH("Remote",K23)))</formula>
    </cfRule>
  </conditionalFormatting>
  <conditionalFormatting sqref="K38:K42">
    <cfRule type="containsText" dxfId="595" priority="21" operator="containsText" text="Remote">
      <formula>NOT(ISERROR(SEARCH("Remote",K38)))</formula>
    </cfRule>
    <cfRule type="containsText" dxfId="594" priority="22" operator="containsText" text="Office">
      <formula>NOT(ISERROR(SEARCH("Office",K38)))</formula>
    </cfRule>
  </conditionalFormatting>
  <conditionalFormatting sqref="N10:N14">
    <cfRule type="containsText" dxfId="593" priority="8" operator="containsText" text="Office">
      <formula>NOT(ISERROR(SEARCH("Office",N10)))</formula>
    </cfRule>
    <cfRule type="containsText" dxfId="592" priority="7" operator="containsText" text="Remote">
      <formula>NOT(ISERROR(SEARCH("Remote",N10)))</formula>
    </cfRule>
  </conditionalFormatting>
  <conditionalFormatting sqref="N23:N27">
    <cfRule type="containsText" dxfId="591" priority="29" operator="containsText" text="Remote">
      <formula>NOT(ISERROR(SEARCH("Remote",N23)))</formula>
    </cfRule>
    <cfRule type="containsText" dxfId="590" priority="30" operator="containsText" text="Office">
      <formula>NOT(ISERROR(SEARCH("Office",N23)))</formula>
    </cfRule>
  </conditionalFormatting>
  <conditionalFormatting sqref="N38:N42">
    <cfRule type="containsText" dxfId="589" priority="20" operator="containsText" text="Office">
      <formula>NOT(ISERROR(SEARCH("Office",N38)))</formula>
    </cfRule>
    <cfRule type="containsText" dxfId="588" priority="19" operator="containsText" text="Remote">
      <formula>NOT(ISERROR(SEARCH("Remote",N38)))</formula>
    </cfRule>
  </conditionalFormatting>
  <conditionalFormatting sqref="Q10:Q14">
    <cfRule type="containsText" dxfId="587" priority="6" operator="containsText" text="Office">
      <formula>NOT(ISERROR(SEARCH("Office",Q10)))</formula>
    </cfRule>
    <cfRule type="containsText" dxfId="586" priority="5" operator="containsText" text="Remote">
      <formula>NOT(ISERROR(SEARCH("Remote",Q10)))</formula>
    </cfRule>
  </conditionalFormatting>
  <conditionalFormatting sqref="Q23:Q27">
    <cfRule type="containsText" dxfId="585" priority="27" operator="containsText" text="Remote">
      <formula>NOT(ISERROR(SEARCH("Remote",Q23)))</formula>
    </cfRule>
    <cfRule type="containsText" dxfId="584" priority="28" operator="containsText" text="Office">
      <formula>NOT(ISERROR(SEARCH("Office",Q23)))</formula>
    </cfRule>
  </conditionalFormatting>
  <conditionalFormatting sqref="Q38:Q42">
    <cfRule type="containsText" dxfId="583" priority="18" operator="containsText" text="Office">
      <formula>NOT(ISERROR(SEARCH("Office",Q38)))</formula>
    </cfRule>
    <cfRule type="containsText" dxfId="582" priority="17" operator="containsText" text="Remote">
      <formula>NOT(ISERROR(SEARCH("Remote",Q38)))</formula>
    </cfRule>
  </conditionalFormatting>
  <conditionalFormatting sqref="T10:T14">
    <cfRule type="containsText" dxfId="581" priority="4" operator="containsText" text="Office">
      <formula>NOT(ISERROR(SEARCH("Office",T10)))</formula>
    </cfRule>
    <cfRule type="containsText" dxfId="580" priority="3" operator="containsText" text="Remote">
      <formula>NOT(ISERROR(SEARCH("Remote",T10)))</formula>
    </cfRule>
  </conditionalFormatting>
  <conditionalFormatting sqref="T23:T27">
    <cfRule type="containsText" dxfId="579" priority="26" operator="containsText" text="Office">
      <formula>NOT(ISERROR(SEARCH("Office",T23)))</formula>
    </cfRule>
    <cfRule type="containsText" dxfId="578" priority="25" operator="containsText" text="Remote">
      <formula>NOT(ISERROR(SEARCH("Remote",T23)))</formula>
    </cfRule>
  </conditionalFormatting>
  <conditionalFormatting sqref="T38:T42">
    <cfRule type="containsText" dxfId="577" priority="16" operator="containsText" text="Office">
      <formula>NOT(ISERROR(SEARCH("Office",T38)))</formula>
    </cfRule>
    <cfRule type="containsText" dxfId="576" priority="15" operator="containsText" text="Remote">
      <formula>NOT(ISERROR(SEARCH("Remote",T38)))</formula>
    </cfRule>
  </conditionalFormatting>
  <conditionalFormatting sqref="W10:W14">
    <cfRule type="containsText" dxfId="575" priority="1" operator="containsText" text="Remote">
      <formula>NOT(ISERROR(SEARCH("Remote",W10)))</formula>
    </cfRule>
    <cfRule type="containsText" dxfId="574" priority="2" operator="containsText" text="Office">
      <formula>NOT(ISERROR(SEARCH("Office",W10)))</formula>
    </cfRule>
  </conditionalFormatting>
  <conditionalFormatting sqref="W23:W27">
    <cfRule type="containsText" dxfId="573" priority="24" operator="containsText" text="Office">
      <formula>NOT(ISERROR(SEARCH("Office",W23)))</formula>
    </cfRule>
    <cfRule type="containsText" dxfId="572" priority="23" operator="containsText" text="Remote">
      <formula>NOT(ISERROR(SEARCH("Remote",W23)))</formula>
    </cfRule>
  </conditionalFormatting>
  <conditionalFormatting sqref="W38:W42">
    <cfRule type="containsText" dxfId="571" priority="31" operator="containsText" text="Remote">
      <formula>NOT(ISERROR(SEARCH("Remote",W38)))</formula>
    </cfRule>
    <cfRule type="containsText" dxfId="570" priority="32" operator="containsText" text="Office">
      <formula>NOT(ISERROR(SEARCH("Office",W38)))</formula>
    </cfRule>
  </conditionalFormatting>
  <dataValidations count="2">
    <dataValidation type="list" allowBlank="1" showInputMessage="1" showErrorMessage="1" sqref="N23:N27 W38:Y42 E23:E27 Q23:Q27 H23:H27 K23:K27 K38:K42 T23:T27 N38:N42 E38:E42 Q38:Q42 H38:H42 W23:Y27 T38:T42" xr:uid="{AB2EC108-3782-40B4-91AC-93F2E3B7A224}">
      <formula1>"Remote, Office"</formula1>
    </dataValidation>
    <dataValidation type="list" allowBlank="1" showInputMessage="1" showErrorMessage="1" sqref="E10:E14 H10:H14 K10:K14 N10:N14 Q10:Q14 T10:T14 W10:X14" xr:uid="{15814E6B-9E82-46CC-9BC3-9BADA357B5D8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56CDC54B-2B6F-46B3-9C7E-2AE0CC604BCF}">
          <x14:formula1>
            <xm:f>FormTools!$A$1:$A$48</xm:f>
          </x14:formula1>
          <xm:sqref>O23:P27 C23:D27 F23:G27 I23:J27 L38:M42 O38:P42 L23:M27 U38:V42 C38:D42 F38:G42 U23:V27 R23:S27 I38:J42 R38:S42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67C4-EE65-4409-8075-1BC176227AAD}">
  <sheetPr codeName="Sheet19"/>
  <dimension ref="A1:Y52"/>
  <sheetViews>
    <sheetView zoomScale="90" zoomScaleNormal="90" workbookViewId="0">
      <selection activeCell="C11" sqref="C11:X11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217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218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219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220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221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222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213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327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223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224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158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0.54166666666666663</v>
      </c>
      <c r="K23" s="17" t="s">
        <v>11</v>
      </c>
      <c r="L23" s="15">
        <v>0.33333333333333331</v>
      </c>
      <c r="M23" s="15">
        <v>0.54166666666666663</v>
      </c>
      <c r="N23" s="17" t="s">
        <v>23</v>
      </c>
      <c r="O23" s="15">
        <v>0.33333333333333331</v>
      </c>
      <c r="P23" s="15">
        <v>0.54166666666666663</v>
      </c>
      <c r="Q23" s="17" t="s">
        <v>23</v>
      </c>
      <c r="R23" s="15">
        <v>0.33333333333333331</v>
      </c>
      <c r="S23" s="15">
        <v>0.54166666666666663</v>
      </c>
      <c r="T23" s="17" t="s">
        <v>11</v>
      </c>
      <c r="U23" s="15">
        <v>0.33333333333333331</v>
      </c>
      <c r="V23" s="15">
        <v>0.625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0.5625</v>
      </c>
      <c r="J24" s="15">
        <v>0.70833333333333337</v>
      </c>
      <c r="K24" s="17" t="s">
        <v>11</v>
      </c>
      <c r="L24" s="15">
        <v>0.5625</v>
      </c>
      <c r="M24" s="15">
        <v>0.70833333333333337</v>
      </c>
      <c r="N24" s="17" t="s">
        <v>23</v>
      </c>
      <c r="O24" s="15">
        <v>0.5625</v>
      </c>
      <c r="P24" s="15">
        <v>0.70833333333333337</v>
      </c>
      <c r="Q24" s="17" t="s">
        <v>23</v>
      </c>
      <c r="R24" s="15">
        <v>0.5625</v>
      </c>
      <c r="S24" s="15">
        <v>0.70833333333333337</v>
      </c>
      <c r="T24" s="17" t="s">
        <v>11</v>
      </c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0.54166666666666663</v>
      </c>
      <c r="K38" s="17" t="s">
        <v>11</v>
      </c>
      <c r="L38" s="15">
        <v>0.33333333333333331</v>
      </c>
      <c r="M38" s="15">
        <v>0.54166666666666663</v>
      </c>
      <c r="N38" s="17" t="s">
        <v>23</v>
      </c>
      <c r="O38" s="15">
        <v>0.33333333333333331</v>
      </c>
      <c r="P38" s="15">
        <v>0.54166666666666663</v>
      </c>
      <c r="Q38" s="17" t="s">
        <v>23</v>
      </c>
      <c r="R38" s="15">
        <v>0.33333333333333331</v>
      </c>
      <c r="S38" s="15">
        <v>0.54166666666666663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0.5625</v>
      </c>
      <c r="J39" s="15">
        <v>0.70833333333333337</v>
      </c>
      <c r="K39" s="17" t="s">
        <v>11</v>
      </c>
      <c r="L39" s="15">
        <v>0.5625</v>
      </c>
      <c r="M39" s="15">
        <v>0.70833333333333337</v>
      </c>
      <c r="N39" s="17" t="s">
        <v>23</v>
      </c>
      <c r="O39" s="15">
        <v>0.5625</v>
      </c>
      <c r="P39" s="15">
        <v>0.70833333333333337</v>
      </c>
      <c r="Q39" s="17" t="s">
        <v>23</v>
      </c>
      <c r="R39" s="15">
        <v>0.5625</v>
      </c>
      <c r="S39" s="15">
        <v>0.70833333333333337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569" priority="56">
      <formula>C50=TRUE</formula>
    </cfRule>
    <cfRule type="expression" dxfId="568" priority="55">
      <formula>C50=FALSE</formula>
    </cfRule>
  </conditionalFormatting>
  <conditionalFormatting sqref="C30:W30">
    <cfRule type="expression" dxfId="567" priority="60">
      <formula>C30=TRUE</formula>
    </cfRule>
    <cfRule type="expression" dxfId="566" priority="59">
      <formula>C30=FALSE</formula>
    </cfRule>
  </conditionalFormatting>
  <conditionalFormatting sqref="C45:W45">
    <cfRule type="expression" dxfId="565" priority="57">
      <formula>C45=FALSE</formula>
    </cfRule>
    <cfRule type="expression" dxfId="564" priority="58">
      <formula>C45=TRUE</formula>
    </cfRule>
  </conditionalFormatting>
  <conditionalFormatting sqref="E10:E14">
    <cfRule type="containsText" dxfId="563" priority="13" operator="containsText" text="Remote">
      <formula>NOT(ISERROR(SEARCH("Remote",E10)))</formula>
    </cfRule>
    <cfRule type="containsText" dxfId="562" priority="14" operator="containsText" text="Office">
      <formula>NOT(ISERROR(SEARCH("Office",E10)))</formula>
    </cfRule>
  </conditionalFormatting>
  <conditionalFormatting sqref="E23:E27">
    <cfRule type="containsText" dxfId="561" priority="54" operator="containsText" text="Office">
      <formula>NOT(ISERROR(SEARCH("Office",E23)))</formula>
    </cfRule>
    <cfRule type="containsText" dxfId="560" priority="53" operator="containsText" text="Remote">
      <formula>NOT(ISERROR(SEARCH("Remote",E23)))</formula>
    </cfRule>
  </conditionalFormatting>
  <conditionalFormatting sqref="E38:E42">
    <cfRule type="containsText" dxfId="559" priority="40" operator="containsText" text="Office">
      <formula>NOT(ISERROR(SEARCH("Office",E38)))</formula>
    </cfRule>
    <cfRule type="containsText" dxfId="558" priority="39" operator="containsText" text="Remote">
      <formula>NOT(ISERROR(SEARCH("Remote",E38)))</formula>
    </cfRule>
  </conditionalFormatting>
  <conditionalFormatting sqref="H10:H14">
    <cfRule type="containsText" dxfId="557" priority="11" operator="containsText" text="Remote">
      <formula>NOT(ISERROR(SEARCH("Remote",H10)))</formula>
    </cfRule>
    <cfRule type="containsText" dxfId="556" priority="12" operator="containsText" text="Office">
      <formula>NOT(ISERROR(SEARCH("Office",H10)))</formula>
    </cfRule>
  </conditionalFormatting>
  <conditionalFormatting sqref="H23:H27">
    <cfRule type="containsText" dxfId="555" priority="52" operator="containsText" text="Office">
      <formula>NOT(ISERROR(SEARCH("Office",H23)))</formula>
    </cfRule>
    <cfRule type="containsText" dxfId="554" priority="51" operator="containsText" text="Remote">
      <formula>NOT(ISERROR(SEARCH("Remote",H23)))</formula>
    </cfRule>
  </conditionalFormatting>
  <conditionalFormatting sqref="H38:H42">
    <cfRule type="containsText" dxfId="553" priority="37" operator="containsText" text="Remote">
      <formula>NOT(ISERROR(SEARCH("Remote",H38)))</formula>
    </cfRule>
    <cfRule type="containsText" dxfId="552" priority="38" operator="containsText" text="Office">
      <formula>NOT(ISERROR(SEARCH("Office",H38)))</formula>
    </cfRule>
  </conditionalFormatting>
  <conditionalFormatting sqref="I31:T31">
    <cfRule type="expression" dxfId="551" priority="63">
      <formula>I31=FALSE</formula>
    </cfRule>
    <cfRule type="expression" dxfId="550" priority="64">
      <formula>I31=TRUE</formula>
    </cfRule>
  </conditionalFormatting>
  <conditionalFormatting sqref="I46:T46">
    <cfRule type="expression" dxfId="549" priority="61">
      <formula>I46=FALSE</formula>
    </cfRule>
    <cfRule type="expression" dxfId="548" priority="62">
      <formula>I46=TRUE</formula>
    </cfRule>
  </conditionalFormatting>
  <conditionalFormatting sqref="K10:K14">
    <cfRule type="containsText" dxfId="547" priority="9" operator="containsText" text="Remote">
      <formula>NOT(ISERROR(SEARCH("Remote",K10)))</formula>
    </cfRule>
    <cfRule type="containsText" dxfId="546" priority="10" operator="containsText" text="Office">
      <formula>NOT(ISERROR(SEARCH("Office",K10)))</formula>
    </cfRule>
  </conditionalFormatting>
  <conditionalFormatting sqref="K23:K27">
    <cfRule type="containsText" dxfId="545" priority="50" operator="containsText" text="Office">
      <formula>NOT(ISERROR(SEARCH("Office",K23)))</formula>
    </cfRule>
    <cfRule type="containsText" dxfId="544" priority="49" operator="containsText" text="Remote">
      <formula>NOT(ISERROR(SEARCH("Remote",K23)))</formula>
    </cfRule>
  </conditionalFormatting>
  <conditionalFormatting sqref="K38:K42">
    <cfRule type="containsText" dxfId="543" priority="19" operator="containsText" text="Remote">
      <formula>NOT(ISERROR(SEARCH("Remote",K38)))</formula>
    </cfRule>
    <cfRule type="containsText" dxfId="542" priority="20" operator="containsText" text="Office">
      <formula>NOT(ISERROR(SEARCH("Office",K38)))</formula>
    </cfRule>
  </conditionalFormatting>
  <conditionalFormatting sqref="N10:N14">
    <cfRule type="containsText" dxfId="541" priority="7" operator="containsText" text="Remote">
      <formula>NOT(ISERROR(SEARCH("Remote",N10)))</formula>
    </cfRule>
    <cfRule type="containsText" dxfId="540" priority="8" operator="containsText" text="Office">
      <formula>NOT(ISERROR(SEARCH("Office",N10)))</formula>
    </cfRule>
  </conditionalFormatting>
  <conditionalFormatting sqref="N23:N27">
    <cfRule type="containsText" dxfId="539" priority="47" operator="containsText" text="Remote">
      <formula>NOT(ISERROR(SEARCH("Remote",N23)))</formula>
    </cfRule>
    <cfRule type="containsText" dxfId="538" priority="48" operator="containsText" text="Office">
      <formula>NOT(ISERROR(SEARCH("Office",N23)))</formula>
    </cfRule>
  </conditionalFormatting>
  <conditionalFormatting sqref="N38:N42">
    <cfRule type="containsText" dxfId="537" priority="24" operator="containsText" text="Office">
      <formula>NOT(ISERROR(SEARCH("Office",N38)))</formula>
    </cfRule>
    <cfRule type="containsText" dxfId="536" priority="23" operator="containsText" text="Remote">
      <formula>NOT(ISERROR(SEARCH("Remote",N38)))</formula>
    </cfRule>
  </conditionalFormatting>
  <conditionalFormatting sqref="Q10:Q14">
    <cfRule type="containsText" dxfId="535" priority="4" operator="containsText" text="Office">
      <formula>NOT(ISERROR(SEARCH("Office",Q10)))</formula>
    </cfRule>
    <cfRule type="containsText" dxfId="534" priority="3" operator="containsText" text="Remote">
      <formula>NOT(ISERROR(SEARCH("Remote",Q10)))</formula>
    </cfRule>
  </conditionalFormatting>
  <conditionalFormatting sqref="Q23:Q27">
    <cfRule type="containsText" dxfId="533" priority="26" operator="containsText" text="Office">
      <formula>NOT(ISERROR(SEARCH("Office",Q23)))</formula>
    </cfRule>
    <cfRule type="containsText" dxfId="532" priority="25" operator="containsText" text="Remote">
      <formula>NOT(ISERROR(SEARCH("Remote",Q23)))</formula>
    </cfRule>
  </conditionalFormatting>
  <conditionalFormatting sqref="Q38:Q42">
    <cfRule type="containsText" dxfId="531" priority="22" operator="containsText" text="Office">
      <formula>NOT(ISERROR(SEARCH("Office",Q38)))</formula>
    </cfRule>
    <cfRule type="containsText" dxfId="530" priority="21" operator="containsText" text="Remote">
      <formula>NOT(ISERROR(SEARCH("Remote",Q38)))</formula>
    </cfRule>
  </conditionalFormatting>
  <conditionalFormatting sqref="T10:T14">
    <cfRule type="containsText" dxfId="529" priority="1" operator="containsText" text="Remote">
      <formula>NOT(ISERROR(SEARCH("Remote",T10)))</formula>
    </cfRule>
    <cfRule type="containsText" dxfId="528" priority="2" operator="containsText" text="Office">
      <formula>NOT(ISERROR(SEARCH("Office",T10)))</formula>
    </cfRule>
  </conditionalFormatting>
  <conditionalFormatting sqref="T23:T27">
    <cfRule type="containsText" dxfId="527" priority="16" operator="containsText" text="Office">
      <formula>NOT(ISERROR(SEARCH("Office",T23)))</formula>
    </cfRule>
    <cfRule type="containsText" dxfId="526" priority="15" operator="containsText" text="Remote">
      <formula>NOT(ISERROR(SEARCH("Remote",T23)))</formula>
    </cfRule>
  </conditionalFormatting>
  <conditionalFormatting sqref="T38:T42">
    <cfRule type="containsText" dxfId="525" priority="18" operator="containsText" text="Office">
      <formula>NOT(ISERROR(SEARCH("Office",T38)))</formula>
    </cfRule>
    <cfRule type="containsText" dxfId="524" priority="17" operator="containsText" text="Remote">
      <formula>NOT(ISERROR(SEARCH("Remote",T38)))</formula>
    </cfRule>
  </conditionalFormatting>
  <conditionalFormatting sqref="W10:W14">
    <cfRule type="containsText" dxfId="523" priority="6" operator="containsText" text="Office">
      <formula>NOT(ISERROR(SEARCH("Office",W10)))</formula>
    </cfRule>
    <cfRule type="containsText" dxfId="522" priority="5" operator="containsText" text="Remote">
      <formula>NOT(ISERROR(SEARCH("Remote",W10)))</formula>
    </cfRule>
  </conditionalFormatting>
  <conditionalFormatting sqref="W23:W27">
    <cfRule type="containsText" dxfId="521" priority="42" operator="containsText" text="Office">
      <formula>NOT(ISERROR(SEARCH("Office",W23)))</formula>
    </cfRule>
    <cfRule type="containsText" dxfId="520" priority="41" operator="containsText" text="Remote">
      <formula>NOT(ISERROR(SEARCH("Remote",W23)))</formula>
    </cfRule>
  </conditionalFormatting>
  <conditionalFormatting sqref="W38:W42">
    <cfRule type="containsText" dxfId="519" priority="27" operator="containsText" text="Remote">
      <formula>NOT(ISERROR(SEARCH("Remote",W38)))</formula>
    </cfRule>
    <cfRule type="containsText" dxfId="518" priority="28" operator="containsText" text="Office">
      <formula>NOT(ISERROR(SEARCH("Office",W38)))</formula>
    </cfRule>
  </conditionalFormatting>
  <dataValidations count="2">
    <dataValidation type="list" allowBlank="1" showInputMessage="1" showErrorMessage="1" sqref="Q23:Q27 W38:Y42 E23:E27 T38:T42 H23:H27 K23:K27 N23:N27 W23:Y27 N38:N42 E38:E42 K38:K42 H38:H42 Q38:Q42 T23:T27" xr:uid="{08770964-AD1B-486F-826B-956802EC40CA}">
      <formula1>"Remote, Office"</formula1>
    </dataValidation>
    <dataValidation type="list" allowBlank="1" showInputMessage="1" showErrorMessage="1" sqref="E10:E14 H10:H14 K10:K14 N10:N14 Q10:Q14 T10:T14 W10:X14" xr:uid="{B532549A-D2EF-4240-B61F-F5C7A2C65B2E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F63F6925-AD75-4E06-AE44-242624B64A14}">
          <x14:formula1>
            <xm:f>FormTools!$A$1:$A$48</xm:f>
          </x14:formula1>
          <xm:sqref>U23:V27 C23:D27 F23:G27 I23:J27 I38:J42 L23:M27 R38:S42 U38:V42 C38:D42 F38:G42 O38:P42 O23:P27 L38:M42 R23:S27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897F-8673-4F1F-8E31-107560626A69}">
  <sheetPr codeName="Sheet20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225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226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227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228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229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230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227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326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231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232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154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11</v>
      </c>
      <c r="L23" s="15">
        <v>0.35416666666666669</v>
      </c>
      <c r="M23" s="15">
        <v>0.5</v>
      </c>
      <c r="N23" s="17" t="s">
        <v>23</v>
      </c>
      <c r="O23" s="15">
        <v>0.33333333333333331</v>
      </c>
      <c r="P23" s="15">
        <v>0.5</v>
      </c>
      <c r="Q23" s="17" t="s">
        <v>11</v>
      </c>
      <c r="R23" s="15">
        <v>0.35416666666666669</v>
      </c>
      <c r="S23" s="15">
        <v>0.5</v>
      </c>
      <c r="T23" s="17" t="s">
        <v>23</v>
      </c>
      <c r="U23" s="15">
        <v>0.33333333333333331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0.6875</v>
      </c>
      <c r="K24" s="17" t="s">
        <v>11</v>
      </c>
      <c r="L24" s="15">
        <v>0.52083333333333337</v>
      </c>
      <c r="M24" s="15">
        <v>0.70833333333333337</v>
      </c>
      <c r="N24" s="17" t="s">
        <v>23</v>
      </c>
      <c r="O24" s="15">
        <v>0.52083333333333337</v>
      </c>
      <c r="P24" s="15">
        <v>0.6875</v>
      </c>
      <c r="Q24" s="17" t="s">
        <v>11</v>
      </c>
      <c r="R24" s="15">
        <v>0.52083333333333337</v>
      </c>
      <c r="S24" s="15">
        <v>0.70833333333333337</v>
      </c>
      <c r="T24" s="17" t="s">
        <v>23</v>
      </c>
      <c r="U24" s="15">
        <v>0.52083333333333337</v>
      </c>
      <c r="V24" s="15">
        <v>0.6875</v>
      </c>
      <c r="W24" s="17" t="s">
        <v>11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7.9999999999999991</v>
      </c>
      <c r="J29" s="63"/>
      <c r="K29" s="64"/>
      <c r="L29" s="62" cm="1">
        <f t="array" ref="L29">SUM((M23:M27-L23:L27)*24)</f>
        <v>8</v>
      </c>
      <c r="M29" s="63"/>
      <c r="N29" s="64"/>
      <c r="O29" s="62" cm="1">
        <f t="array" ref="O29">SUM((P23:P27-O23:O27)*24)</f>
        <v>7.9999999999999991</v>
      </c>
      <c r="P29" s="63"/>
      <c r="Q29" s="64"/>
      <c r="R29" s="62" cm="1">
        <f t="array" ref="R29">SUM((S23:S27-R23:R27)*24)</f>
        <v>8</v>
      </c>
      <c r="S29" s="63"/>
      <c r="T29" s="64"/>
      <c r="U29" s="62" cm="1">
        <f t="array" ref="U29">SUM((V23:V27-U23:U27)*24)</f>
        <v>7.9999999999999991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</v>
      </c>
      <c r="K38" s="17" t="s">
        <v>11</v>
      </c>
      <c r="L38" s="15">
        <v>0.35416666666666669</v>
      </c>
      <c r="M38" s="15">
        <v>0.5</v>
      </c>
      <c r="N38" s="17" t="s">
        <v>23</v>
      </c>
      <c r="O38" s="15">
        <v>0.33333333333333331</v>
      </c>
      <c r="P38" s="15">
        <v>0.5</v>
      </c>
      <c r="Q38" s="17" t="s">
        <v>11</v>
      </c>
      <c r="R38" s="15">
        <v>0.35416666666666669</v>
      </c>
      <c r="S38" s="15">
        <v>0.5</v>
      </c>
      <c r="T38" s="17" t="s">
        <v>23</v>
      </c>
      <c r="U38" s="15">
        <v>0.3125</v>
      </c>
      <c r="V38" s="15">
        <v>0.4375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0.6875</v>
      </c>
      <c r="K39" s="17" t="s">
        <v>11</v>
      </c>
      <c r="L39" s="15">
        <v>0.52083333333333337</v>
      </c>
      <c r="M39" s="15">
        <v>0.70833333333333337</v>
      </c>
      <c r="N39" s="17" t="s">
        <v>23</v>
      </c>
      <c r="O39" s="15">
        <v>0.52083333333333337</v>
      </c>
      <c r="P39" s="15">
        <v>0.6875</v>
      </c>
      <c r="Q39" s="17" t="s">
        <v>11</v>
      </c>
      <c r="R39" s="15">
        <v>0.52083333333333337</v>
      </c>
      <c r="S39" s="15">
        <v>0.70833333333333337</v>
      </c>
      <c r="T39" s="17" t="s">
        <v>23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7.9999999999999991</v>
      </c>
      <c r="J44" s="63"/>
      <c r="K44" s="64"/>
      <c r="L44" s="62" cm="1">
        <f t="array" ref="L44">SUM((M38:M42-L38:L42)*24)</f>
        <v>8</v>
      </c>
      <c r="M44" s="63"/>
      <c r="N44" s="64"/>
      <c r="O44" s="62" cm="1">
        <f t="array" ref="O44">SUM((P38:P42-O38:O42)*24)</f>
        <v>7.9999999999999991</v>
      </c>
      <c r="P44" s="63"/>
      <c r="Q44" s="64"/>
      <c r="R44" s="62" cm="1">
        <f t="array" ref="R44">SUM((S38:S42-R38:R42)*24)</f>
        <v>8</v>
      </c>
      <c r="S44" s="63"/>
      <c r="T44" s="64"/>
      <c r="U44" s="62" cm="1">
        <f t="array" ref="U44">SUM((V38:V42-U38:U42)*24)</f>
        <v>3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35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517" priority="72">
      <formula>C50=TRUE</formula>
    </cfRule>
    <cfRule type="expression" dxfId="516" priority="71">
      <formula>C50=FALSE</formula>
    </cfRule>
  </conditionalFormatting>
  <conditionalFormatting sqref="C30:W30">
    <cfRule type="expression" dxfId="515" priority="76">
      <formula>C30=TRUE</formula>
    </cfRule>
    <cfRule type="expression" dxfId="514" priority="75">
      <formula>C30=FALSE</formula>
    </cfRule>
  </conditionalFormatting>
  <conditionalFormatting sqref="C45:W45">
    <cfRule type="expression" dxfId="513" priority="73">
      <formula>C45=FALSE</formula>
    </cfRule>
    <cfRule type="expression" dxfId="512" priority="74">
      <formula>C45=TRUE</formula>
    </cfRule>
  </conditionalFormatting>
  <conditionalFormatting sqref="E10:E14">
    <cfRule type="containsText" dxfId="511" priority="13" operator="containsText" text="Remote">
      <formula>NOT(ISERROR(SEARCH("Remote",E10)))</formula>
    </cfRule>
    <cfRule type="containsText" dxfId="510" priority="14" operator="containsText" text="Office">
      <formula>NOT(ISERROR(SEARCH("Office",E10)))</formula>
    </cfRule>
  </conditionalFormatting>
  <conditionalFormatting sqref="E23:E27">
    <cfRule type="containsText" dxfId="509" priority="70" operator="containsText" text="Office">
      <formula>NOT(ISERROR(SEARCH("Office",E23)))</formula>
    </cfRule>
    <cfRule type="containsText" dxfId="508" priority="69" operator="containsText" text="Remote">
      <formula>NOT(ISERROR(SEARCH("Remote",E23)))</formula>
    </cfRule>
  </conditionalFormatting>
  <conditionalFormatting sqref="E38:E42">
    <cfRule type="containsText" dxfId="507" priority="55" operator="containsText" text="Remote">
      <formula>NOT(ISERROR(SEARCH("Remote",E38)))</formula>
    </cfRule>
    <cfRule type="containsText" dxfId="506" priority="56" operator="containsText" text="Office">
      <formula>NOT(ISERROR(SEARCH("Office",E38)))</formula>
    </cfRule>
  </conditionalFormatting>
  <conditionalFormatting sqref="H10:H14">
    <cfRule type="containsText" dxfId="505" priority="11" operator="containsText" text="Remote">
      <formula>NOT(ISERROR(SEARCH("Remote",H10)))</formula>
    </cfRule>
    <cfRule type="containsText" dxfId="504" priority="12" operator="containsText" text="Office">
      <formula>NOT(ISERROR(SEARCH("Office",H10)))</formula>
    </cfRule>
  </conditionalFormatting>
  <conditionalFormatting sqref="H23:H27">
    <cfRule type="containsText" dxfId="503" priority="68" operator="containsText" text="Office">
      <formula>NOT(ISERROR(SEARCH("Office",H23)))</formula>
    </cfRule>
    <cfRule type="containsText" dxfId="502" priority="67" operator="containsText" text="Remote">
      <formula>NOT(ISERROR(SEARCH("Remote",H23)))</formula>
    </cfRule>
  </conditionalFormatting>
  <conditionalFormatting sqref="H38:H42">
    <cfRule type="containsText" dxfId="501" priority="53" operator="containsText" text="Remote">
      <formula>NOT(ISERROR(SEARCH("Remote",H38)))</formula>
    </cfRule>
    <cfRule type="containsText" dxfId="500" priority="54" operator="containsText" text="Office">
      <formula>NOT(ISERROR(SEARCH("Office",H38)))</formula>
    </cfRule>
  </conditionalFormatting>
  <conditionalFormatting sqref="I31:T31">
    <cfRule type="expression" dxfId="499" priority="79">
      <formula>I31=FALSE</formula>
    </cfRule>
    <cfRule type="expression" dxfId="498" priority="80">
      <formula>I31=TRUE</formula>
    </cfRule>
  </conditionalFormatting>
  <conditionalFormatting sqref="I46:T46">
    <cfRule type="expression" dxfId="497" priority="77">
      <formula>I46=FALSE</formula>
    </cfRule>
    <cfRule type="expression" dxfId="496" priority="78">
      <formula>I46=TRUE</formula>
    </cfRule>
  </conditionalFormatting>
  <conditionalFormatting sqref="K10:K14">
    <cfRule type="containsText" dxfId="495" priority="9" operator="containsText" text="Remote">
      <formula>NOT(ISERROR(SEARCH("Remote",K10)))</formula>
    </cfRule>
    <cfRule type="containsText" dxfId="494" priority="10" operator="containsText" text="Office">
      <formula>NOT(ISERROR(SEARCH("Office",K10)))</formula>
    </cfRule>
  </conditionalFormatting>
  <conditionalFormatting sqref="K23:K27">
    <cfRule type="containsText" dxfId="493" priority="66" operator="containsText" text="Office">
      <formula>NOT(ISERROR(SEARCH("Office",K23)))</formula>
    </cfRule>
    <cfRule type="containsText" dxfId="492" priority="65" operator="containsText" text="Remote">
      <formula>NOT(ISERROR(SEARCH("Remote",K23)))</formula>
    </cfRule>
  </conditionalFormatting>
  <conditionalFormatting sqref="K38:K42">
    <cfRule type="containsText" dxfId="491" priority="29" operator="containsText" text="Remote">
      <formula>NOT(ISERROR(SEARCH("Remote",K38)))</formula>
    </cfRule>
    <cfRule type="containsText" dxfId="490" priority="30" operator="containsText" text="Office">
      <formula>NOT(ISERROR(SEARCH("Office",K38)))</formula>
    </cfRule>
  </conditionalFormatting>
  <conditionalFormatting sqref="N10:N14">
    <cfRule type="containsText" dxfId="489" priority="7" operator="containsText" text="Remote">
      <formula>NOT(ISERROR(SEARCH("Remote",N10)))</formula>
    </cfRule>
    <cfRule type="containsText" dxfId="488" priority="8" operator="containsText" text="Office">
      <formula>NOT(ISERROR(SEARCH("Office",N10)))</formula>
    </cfRule>
  </conditionalFormatting>
  <conditionalFormatting sqref="N23:N27">
    <cfRule type="containsText" dxfId="487" priority="63" operator="containsText" text="Remote">
      <formula>NOT(ISERROR(SEARCH("Remote",N23)))</formula>
    </cfRule>
    <cfRule type="containsText" dxfId="486" priority="64" operator="containsText" text="Office">
      <formula>NOT(ISERROR(SEARCH("Office",N23)))</formula>
    </cfRule>
  </conditionalFormatting>
  <conditionalFormatting sqref="N38:N42">
    <cfRule type="containsText" dxfId="485" priority="28" operator="containsText" text="Office">
      <formula>NOT(ISERROR(SEARCH("Office",N38)))</formula>
    </cfRule>
    <cfRule type="containsText" dxfId="484" priority="27" operator="containsText" text="Remote">
      <formula>NOT(ISERROR(SEARCH("Remote",N38)))</formula>
    </cfRule>
  </conditionalFormatting>
  <conditionalFormatting sqref="Q10:Q14">
    <cfRule type="containsText" dxfId="483" priority="6" operator="containsText" text="Office">
      <formula>NOT(ISERROR(SEARCH("Office",Q10)))</formula>
    </cfRule>
    <cfRule type="containsText" dxfId="482" priority="5" operator="containsText" text="Remote">
      <formula>NOT(ISERROR(SEARCH("Remote",Q10)))</formula>
    </cfRule>
  </conditionalFormatting>
  <conditionalFormatting sqref="Q23:Q27">
    <cfRule type="containsText" dxfId="481" priority="35" operator="containsText" text="Remote">
      <formula>NOT(ISERROR(SEARCH("Remote",Q23)))</formula>
    </cfRule>
    <cfRule type="containsText" dxfId="480" priority="36" operator="containsText" text="Office">
      <formula>NOT(ISERROR(SEARCH("Office",Q23)))</formula>
    </cfRule>
  </conditionalFormatting>
  <conditionalFormatting sqref="Q38:Q42">
    <cfRule type="containsText" dxfId="479" priority="20" operator="containsText" text="Office">
      <formula>NOT(ISERROR(SEARCH("Office",Q38)))</formula>
    </cfRule>
    <cfRule type="containsText" dxfId="478" priority="19" operator="containsText" text="Remote">
      <formula>NOT(ISERROR(SEARCH("Remote",Q38)))</formula>
    </cfRule>
  </conditionalFormatting>
  <conditionalFormatting sqref="T10:T14">
    <cfRule type="containsText" dxfId="477" priority="4" operator="containsText" text="Office">
      <formula>NOT(ISERROR(SEARCH("Office",T10)))</formula>
    </cfRule>
    <cfRule type="containsText" dxfId="476" priority="3" operator="containsText" text="Remote">
      <formula>NOT(ISERROR(SEARCH("Remote",T10)))</formula>
    </cfRule>
  </conditionalFormatting>
  <conditionalFormatting sqref="T23:T27">
    <cfRule type="containsText" dxfId="475" priority="33" operator="containsText" text="Remote">
      <formula>NOT(ISERROR(SEARCH("Remote",T23)))</formula>
    </cfRule>
    <cfRule type="containsText" dxfId="474" priority="34" operator="containsText" text="Office">
      <formula>NOT(ISERROR(SEARCH("Office",T23)))</formula>
    </cfRule>
  </conditionalFormatting>
  <conditionalFormatting sqref="T38:T42">
    <cfRule type="containsText" dxfId="473" priority="18" operator="containsText" text="Office">
      <formula>NOT(ISERROR(SEARCH("Office",T38)))</formula>
    </cfRule>
    <cfRule type="containsText" dxfId="472" priority="17" operator="containsText" text="Remote">
      <formula>NOT(ISERROR(SEARCH("Remote",T38)))</formula>
    </cfRule>
  </conditionalFormatting>
  <conditionalFormatting sqref="W10:W14">
    <cfRule type="containsText" dxfId="471" priority="1" operator="containsText" text="Remote">
      <formula>NOT(ISERROR(SEARCH("Remote",W10)))</formula>
    </cfRule>
    <cfRule type="containsText" dxfId="470" priority="2" operator="containsText" text="Office">
      <formula>NOT(ISERROR(SEARCH("Office",W10)))</formula>
    </cfRule>
  </conditionalFormatting>
  <conditionalFormatting sqref="W23:W27">
    <cfRule type="containsText" dxfId="469" priority="32" operator="containsText" text="Office">
      <formula>NOT(ISERROR(SEARCH("Office",W23)))</formula>
    </cfRule>
    <cfRule type="containsText" dxfId="468" priority="31" operator="containsText" text="Remote">
      <formula>NOT(ISERROR(SEARCH("Remote",W23)))</formula>
    </cfRule>
  </conditionalFormatting>
  <conditionalFormatting sqref="W38:W42">
    <cfRule type="containsText" dxfId="467" priority="16" operator="containsText" text="Office">
      <formula>NOT(ISERROR(SEARCH("Office",W38)))</formula>
    </cfRule>
    <cfRule type="containsText" dxfId="466" priority="15" operator="containsText" text="Remote">
      <formula>NOT(ISERROR(SEARCH("Remote",W38)))</formula>
    </cfRule>
  </conditionalFormatting>
  <dataValidations count="2">
    <dataValidation type="list" allowBlank="1" showInputMessage="1" showErrorMessage="1" sqref="Q38:Q42 E23:E27 H23:H27 K23:K27 N23:N27 Q23:Q27 T38:T42 E38:E42 K38:K42 H38:H42 W23:Y27 T23:T27 W38:Y42 N38:N42" xr:uid="{DC9F6843-4569-40C6-9DCF-384CED24289A}">
      <formula1>"Remote, Office"</formula1>
    </dataValidation>
    <dataValidation type="list" allowBlank="1" showInputMessage="1" showErrorMessage="1" sqref="E10:E14 H10:H14 K10:K14 N10:N14 Q10:Q14 T10:T14 W10:X14" xr:uid="{D95AE27C-817F-43A4-9FC2-917F15387661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3EA6743B-5BA1-4630-9376-049F04E243C5}">
          <x14:formula1>
            <xm:f>FormTools!$A$1:$A$48</xm:f>
          </x14:formula1>
          <xm:sqref>C23:D27 F23:G27 I23:J27 L23:M27 U38:V42 R23:S27 I38:J42 C38:D42 F38:G42 L38:M42 O38:P42 U23:V27 O23:P27 R38:S42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0AC1-1FE1-459E-A1AD-D64A8056A3CE}">
  <sheetPr codeName="Sheet21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233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234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235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236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237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238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281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325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239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240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49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92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11</v>
      </c>
      <c r="L23" s="15">
        <v>0.33333333333333331</v>
      </c>
      <c r="M23" s="15">
        <v>0.5</v>
      </c>
      <c r="N23" s="17" t="s">
        <v>11</v>
      </c>
      <c r="O23" s="15">
        <v>0.33333333333333331</v>
      </c>
      <c r="P23" s="15">
        <v>0.5</v>
      </c>
      <c r="Q23" s="17" t="s">
        <v>11</v>
      </c>
      <c r="R23" s="15">
        <v>0.33333333333333331</v>
      </c>
      <c r="S23" s="15">
        <v>0.5</v>
      </c>
      <c r="T23" s="17" t="s">
        <v>11</v>
      </c>
      <c r="U23" s="15">
        <v>0.33333333333333331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0.70833333333333337</v>
      </c>
      <c r="K24" s="17" t="s">
        <v>11</v>
      </c>
      <c r="L24" s="15">
        <v>0.52083333333333337</v>
      </c>
      <c r="M24" s="15">
        <v>0.70833333333333337</v>
      </c>
      <c r="N24" s="17" t="s">
        <v>11</v>
      </c>
      <c r="O24" s="15">
        <v>0.52083333333333337</v>
      </c>
      <c r="P24" s="15">
        <v>0.70833333333333337</v>
      </c>
      <c r="Q24" s="17" t="s">
        <v>11</v>
      </c>
      <c r="R24" s="15">
        <v>0.52083333333333337</v>
      </c>
      <c r="S24" s="15">
        <v>0.70833333333333337</v>
      </c>
      <c r="T24" s="17" t="s">
        <v>11</v>
      </c>
      <c r="U24" s="15">
        <v>0.52083333333333337</v>
      </c>
      <c r="V24" s="15">
        <v>0.64583333333333337</v>
      </c>
      <c r="W24" s="17" t="s">
        <v>11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</v>
      </c>
      <c r="K38" s="17" t="s">
        <v>11</v>
      </c>
      <c r="L38" s="15">
        <v>0.33333333333333331</v>
      </c>
      <c r="M38" s="15">
        <v>0.5</v>
      </c>
      <c r="N38" s="17" t="s">
        <v>11</v>
      </c>
      <c r="O38" s="15">
        <v>0.33333333333333331</v>
      </c>
      <c r="P38" s="15">
        <v>0.5</v>
      </c>
      <c r="Q38" s="17" t="s">
        <v>11</v>
      </c>
      <c r="R38" s="15">
        <v>0.33333333333333331</v>
      </c>
      <c r="S38" s="15">
        <v>0.5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0.70833333333333337</v>
      </c>
      <c r="K39" s="17" t="s">
        <v>11</v>
      </c>
      <c r="L39" s="15">
        <v>0.52083333333333337</v>
      </c>
      <c r="M39" s="15">
        <v>0.70833333333333337</v>
      </c>
      <c r="N39" s="17" t="s">
        <v>11</v>
      </c>
      <c r="O39" s="15">
        <v>0.52083333333333337</v>
      </c>
      <c r="P39" s="15">
        <v>0.70833333333333337</v>
      </c>
      <c r="Q39" s="17" t="s">
        <v>11</v>
      </c>
      <c r="R39" s="15">
        <v>0.52083333333333337</v>
      </c>
      <c r="S39" s="15">
        <v>0.70833333333333337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465" priority="58">
      <formula>C50=TRUE</formula>
    </cfRule>
    <cfRule type="expression" dxfId="464" priority="57">
      <formula>C50=FALSE</formula>
    </cfRule>
  </conditionalFormatting>
  <conditionalFormatting sqref="C30:W30">
    <cfRule type="expression" dxfId="463" priority="62">
      <formula>C30=TRUE</formula>
    </cfRule>
    <cfRule type="expression" dxfId="462" priority="61">
      <formula>C30=FALSE</formula>
    </cfRule>
  </conditionalFormatting>
  <conditionalFormatting sqref="C45:W45">
    <cfRule type="expression" dxfId="461" priority="59">
      <formula>C45=FALSE</formula>
    </cfRule>
    <cfRule type="expression" dxfId="460" priority="60">
      <formula>C45=TRUE</formula>
    </cfRule>
  </conditionalFormatting>
  <conditionalFormatting sqref="E10:E14">
    <cfRule type="containsText" dxfId="459" priority="13" operator="containsText" text="Remote">
      <formula>NOT(ISERROR(SEARCH("Remote",E10)))</formula>
    </cfRule>
    <cfRule type="containsText" dxfId="458" priority="14" operator="containsText" text="Office">
      <formula>NOT(ISERROR(SEARCH("Office",E10)))</formula>
    </cfRule>
  </conditionalFormatting>
  <conditionalFormatting sqref="E23:E27">
    <cfRule type="containsText" dxfId="457" priority="56" operator="containsText" text="Office">
      <formula>NOT(ISERROR(SEARCH("Office",E23)))</formula>
    </cfRule>
    <cfRule type="containsText" dxfId="456" priority="55" operator="containsText" text="Remote">
      <formula>NOT(ISERROR(SEARCH("Remote",E23)))</formula>
    </cfRule>
  </conditionalFormatting>
  <conditionalFormatting sqref="E38:E42">
    <cfRule type="containsText" dxfId="455" priority="41" operator="containsText" text="Remote">
      <formula>NOT(ISERROR(SEARCH("Remote",E38)))</formula>
    </cfRule>
    <cfRule type="containsText" dxfId="454" priority="42" operator="containsText" text="Office">
      <formula>NOT(ISERROR(SEARCH("Office",E38)))</formula>
    </cfRule>
  </conditionalFormatting>
  <conditionalFormatting sqref="H10:H14">
    <cfRule type="containsText" dxfId="453" priority="11" operator="containsText" text="Remote">
      <formula>NOT(ISERROR(SEARCH("Remote",H10)))</formula>
    </cfRule>
    <cfRule type="containsText" dxfId="452" priority="12" operator="containsText" text="Office">
      <formula>NOT(ISERROR(SEARCH("Office",H10)))</formula>
    </cfRule>
  </conditionalFormatting>
  <conditionalFormatting sqref="H23:H27">
    <cfRule type="containsText" dxfId="451" priority="54" operator="containsText" text="Office">
      <formula>NOT(ISERROR(SEARCH("Office",H23)))</formula>
    </cfRule>
    <cfRule type="containsText" dxfId="450" priority="53" operator="containsText" text="Remote">
      <formula>NOT(ISERROR(SEARCH("Remote",H23)))</formula>
    </cfRule>
  </conditionalFormatting>
  <conditionalFormatting sqref="H38:H42">
    <cfRule type="containsText" dxfId="449" priority="39" operator="containsText" text="Remote">
      <formula>NOT(ISERROR(SEARCH("Remote",H38)))</formula>
    </cfRule>
    <cfRule type="containsText" dxfId="448" priority="40" operator="containsText" text="Office">
      <formula>NOT(ISERROR(SEARCH("Office",H38)))</formula>
    </cfRule>
  </conditionalFormatting>
  <conditionalFormatting sqref="I31:T31">
    <cfRule type="expression" dxfId="447" priority="65">
      <formula>I31=FALSE</formula>
    </cfRule>
    <cfRule type="expression" dxfId="446" priority="66">
      <formula>I31=TRUE</formula>
    </cfRule>
  </conditionalFormatting>
  <conditionalFormatting sqref="I46:T46">
    <cfRule type="expression" dxfId="445" priority="64">
      <formula>I46=TRUE</formula>
    </cfRule>
    <cfRule type="expression" dxfId="444" priority="63">
      <formula>I46=FALSE</formula>
    </cfRule>
  </conditionalFormatting>
  <conditionalFormatting sqref="K10:K14">
    <cfRule type="containsText" dxfId="443" priority="9" operator="containsText" text="Remote">
      <formula>NOT(ISERROR(SEARCH("Remote",K10)))</formula>
    </cfRule>
    <cfRule type="containsText" dxfId="442" priority="10" operator="containsText" text="Office">
      <formula>NOT(ISERROR(SEARCH("Office",K10)))</formula>
    </cfRule>
  </conditionalFormatting>
  <conditionalFormatting sqref="K23:K27">
    <cfRule type="containsText" dxfId="441" priority="52" operator="containsText" text="Office">
      <formula>NOT(ISERROR(SEARCH("Office",K23)))</formula>
    </cfRule>
    <cfRule type="containsText" dxfId="440" priority="51" operator="containsText" text="Remote">
      <formula>NOT(ISERROR(SEARCH("Remote",K23)))</formula>
    </cfRule>
  </conditionalFormatting>
  <conditionalFormatting sqref="K38:K42">
    <cfRule type="containsText" dxfId="439" priority="21" operator="containsText" text="Remote">
      <formula>NOT(ISERROR(SEARCH("Remote",K38)))</formula>
    </cfRule>
    <cfRule type="containsText" dxfId="438" priority="22" operator="containsText" text="Office">
      <formula>NOT(ISERROR(SEARCH("Office",K38)))</formula>
    </cfRule>
  </conditionalFormatting>
  <conditionalFormatting sqref="N10:N14">
    <cfRule type="containsText" dxfId="437" priority="6" operator="containsText" text="Office">
      <formula>NOT(ISERROR(SEARCH("Office",N10)))</formula>
    </cfRule>
    <cfRule type="containsText" dxfId="436" priority="5" operator="containsText" text="Remote">
      <formula>NOT(ISERROR(SEARCH("Remote",N10)))</formula>
    </cfRule>
  </conditionalFormatting>
  <conditionalFormatting sqref="N23:N27">
    <cfRule type="containsText" dxfId="435" priority="27" operator="containsText" text="Remote">
      <formula>NOT(ISERROR(SEARCH("Remote",N23)))</formula>
    </cfRule>
    <cfRule type="containsText" dxfId="434" priority="28" operator="containsText" text="Office">
      <formula>NOT(ISERROR(SEARCH("Office",N23)))</formula>
    </cfRule>
  </conditionalFormatting>
  <conditionalFormatting sqref="N38:N42">
    <cfRule type="containsText" dxfId="433" priority="20" operator="containsText" text="Office">
      <formula>NOT(ISERROR(SEARCH("Office",N38)))</formula>
    </cfRule>
    <cfRule type="containsText" dxfId="432" priority="19" operator="containsText" text="Remote">
      <formula>NOT(ISERROR(SEARCH("Remote",N38)))</formula>
    </cfRule>
  </conditionalFormatting>
  <conditionalFormatting sqref="Q10:Q14">
    <cfRule type="containsText" dxfId="431" priority="4" operator="containsText" text="Office">
      <formula>NOT(ISERROR(SEARCH("Office",Q10)))</formula>
    </cfRule>
    <cfRule type="containsText" dxfId="430" priority="3" operator="containsText" text="Remote">
      <formula>NOT(ISERROR(SEARCH("Remote",Q10)))</formula>
    </cfRule>
  </conditionalFormatting>
  <conditionalFormatting sqref="Q23:Q27">
    <cfRule type="containsText" dxfId="429" priority="26" operator="containsText" text="Office">
      <formula>NOT(ISERROR(SEARCH("Office",Q23)))</formula>
    </cfRule>
    <cfRule type="containsText" dxfId="428" priority="25" operator="containsText" text="Remote">
      <formula>NOT(ISERROR(SEARCH("Remote",Q23)))</formula>
    </cfRule>
  </conditionalFormatting>
  <conditionalFormatting sqref="Q38:Q42">
    <cfRule type="containsText" dxfId="427" priority="18" operator="containsText" text="Office">
      <formula>NOT(ISERROR(SEARCH("Office",Q38)))</formula>
    </cfRule>
    <cfRule type="containsText" dxfId="426" priority="17" operator="containsText" text="Remote">
      <formula>NOT(ISERROR(SEARCH("Remote",Q38)))</formula>
    </cfRule>
  </conditionalFormatting>
  <conditionalFormatting sqref="T10:T14">
    <cfRule type="containsText" dxfId="425" priority="1" operator="containsText" text="Remote">
      <formula>NOT(ISERROR(SEARCH("Remote",T10)))</formula>
    </cfRule>
    <cfRule type="containsText" dxfId="424" priority="2" operator="containsText" text="Office">
      <formula>NOT(ISERROR(SEARCH("Office",T10)))</formula>
    </cfRule>
  </conditionalFormatting>
  <conditionalFormatting sqref="T23:T27">
    <cfRule type="containsText" dxfId="423" priority="24" operator="containsText" text="Office">
      <formula>NOT(ISERROR(SEARCH("Office",T23)))</formula>
    </cfRule>
    <cfRule type="containsText" dxfId="422" priority="23" operator="containsText" text="Remote">
      <formula>NOT(ISERROR(SEARCH("Remote",T23)))</formula>
    </cfRule>
  </conditionalFormatting>
  <conditionalFormatting sqref="T38:T42">
    <cfRule type="containsText" dxfId="421" priority="16" operator="containsText" text="Office">
      <formula>NOT(ISERROR(SEARCH("Office",T38)))</formula>
    </cfRule>
    <cfRule type="containsText" dxfId="420" priority="15" operator="containsText" text="Remote">
      <formula>NOT(ISERROR(SEARCH("Remote",T38)))</formula>
    </cfRule>
  </conditionalFormatting>
  <conditionalFormatting sqref="W10:W14">
    <cfRule type="containsText" dxfId="419" priority="7" operator="containsText" text="Remote">
      <formula>NOT(ISERROR(SEARCH("Remote",W10)))</formula>
    </cfRule>
    <cfRule type="containsText" dxfId="418" priority="8" operator="containsText" text="Office">
      <formula>NOT(ISERROR(SEARCH("Office",W10)))</formula>
    </cfRule>
  </conditionalFormatting>
  <conditionalFormatting sqref="W23:W27">
    <cfRule type="containsText" dxfId="417" priority="43" operator="containsText" text="Remote">
      <formula>NOT(ISERROR(SEARCH("Remote",W23)))</formula>
    </cfRule>
    <cfRule type="containsText" dxfId="416" priority="44" operator="containsText" text="Office">
      <formula>NOT(ISERROR(SEARCH("Office",W23)))</formula>
    </cfRule>
  </conditionalFormatting>
  <conditionalFormatting sqref="W38:W42">
    <cfRule type="containsText" dxfId="415" priority="29" operator="containsText" text="Remote">
      <formula>NOT(ISERROR(SEARCH("Remote",W38)))</formula>
    </cfRule>
    <cfRule type="containsText" dxfId="414" priority="30" operator="containsText" text="Office">
      <formula>NOT(ISERROR(SEARCH("Office",W38)))</formula>
    </cfRule>
  </conditionalFormatting>
  <dataValidations count="2">
    <dataValidation type="list" allowBlank="1" showInputMessage="1" showErrorMessage="1" sqref="N23:N27 W38:Y42 E23:E27 Q23:Q27 H23:H27 K23:K27 K38:K42 W23:Y27 N38:N42 E38:E42 Q38:Q42 H38:H42 T23:T27 T38:T42" xr:uid="{9BBB686C-7838-4A10-B870-E06245351600}">
      <formula1>"Remote, Office"</formula1>
    </dataValidation>
    <dataValidation type="list" allowBlank="1" showInputMessage="1" showErrorMessage="1" sqref="E10:E14 H10:H14 K10:K14 N10:N14 Q10:Q14 T10:T14 W10:X14" xr:uid="{41DF6005-AED2-4DCF-B6E3-7D2D01F01364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F7E9E90D-39EA-45A0-9BA1-99B4BCA7C40E}">
          <x14:formula1>
            <xm:f>FormTools!$A$1:$A$48</xm:f>
          </x14:formula1>
          <xm:sqref>U23:V27 C23:D27 F23:G27 I23:J27 O38:P42 L23:M27 O23:P27 U38:V42 C38:D42 F38:G42 R23:S27 I38:J42 L38:M42 R38:S42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5E49-F750-4B94-A369-D2C2480D8A92}">
  <sheetPr codeName="Sheet22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241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242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243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244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245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246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216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324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247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248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158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11</v>
      </c>
      <c r="L23" s="15">
        <v>0.33333333333333331</v>
      </c>
      <c r="M23" s="15">
        <v>0.5</v>
      </c>
      <c r="N23" s="17" t="s">
        <v>11</v>
      </c>
      <c r="O23" s="15">
        <v>0.33333333333333331</v>
      </c>
      <c r="P23" s="15">
        <v>0.5</v>
      </c>
      <c r="Q23" s="17" t="s">
        <v>11</v>
      </c>
      <c r="R23" s="15">
        <v>0.33333333333333331</v>
      </c>
      <c r="S23" s="15">
        <v>0.5</v>
      </c>
      <c r="T23" s="17" t="s">
        <v>11</v>
      </c>
      <c r="U23" s="15">
        <v>0.35416666666666669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0.70833333333333337</v>
      </c>
      <c r="K24" s="17" t="s">
        <v>11</v>
      </c>
      <c r="L24" s="15">
        <v>0.52083333333333337</v>
      </c>
      <c r="M24" s="15">
        <v>0.70833333333333337</v>
      </c>
      <c r="N24" s="17" t="s">
        <v>11</v>
      </c>
      <c r="O24" s="15">
        <v>0.52083333333333337</v>
      </c>
      <c r="P24" s="15">
        <v>0.70833333333333337</v>
      </c>
      <c r="Q24" s="17" t="s">
        <v>11</v>
      </c>
      <c r="R24" s="15">
        <v>0.52083333333333337</v>
      </c>
      <c r="S24" s="15">
        <v>0.70833333333333337</v>
      </c>
      <c r="T24" s="17" t="s">
        <v>11</v>
      </c>
      <c r="U24" s="15">
        <v>0.52083333333333337</v>
      </c>
      <c r="V24" s="15">
        <v>0.66666666666666663</v>
      </c>
      <c r="W24" s="17" t="s">
        <v>11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6.9999999999999982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</v>
      </c>
      <c r="K38" s="17" t="s">
        <v>11</v>
      </c>
      <c r="L38" s="15">
        <v>0.33333333333333331</v>
      </c>
      <c r="M38" s="15">
        <v>0.5</v>
      </c>
      <c r="N38" s="17" t="s">
        <v>11</v>
      </c>
      <c r="O38" s="15">
        <v>0.33333333333333331</v>
      </c>
      <c r="P38" s="15">
        <v>0.5</v>
      </c>
      <c r="Q38" s="17" t="s">
        <v>11</v>
      </c>
      <c r="R38" s="15">
        <v>0.33333333333333331</v>
      </c>
      <c r="S38" s="15">
        <v>0.5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0.70833333333333337</v>
      </c>
      <c r="K39" s="17" t="s">
        <v>11</v>
      </c>
      <c r="L39" s="15">
        <v>0.52083333333333337</v>
      </c>
      <c r="M39" s="15">
        <v>0.70833333333333337</v>
      </c>
      <c r="N39" s="17" t="s">
        <v>11</v>
      </c>
      <c r="O39" s="15">
        <v>0.52083333333333337</v>
      </c>
      <c r="P39" s="15">
        <v>0.70833333333333337</v>
      </c>
      <c r="Q39" s="17" t="s">
        <v>11</v>
      </c>
      <c r="R39" s="15">
        <v>0.52083333333333337</v>
      </c>
      <c r="S39" s="15">
        <v>0.70833333333333337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413" priority="60">
      <formula>C50=TRUE</formula>
    </cfRule>
    <cfRule type="expression" dxfId="412" priority="59">
      <formula>C50=FALSE</formula>
    </cfRule>
  </conditionalFormatting>
  <conditionalFormatting sqref="C30:W30">
    <cfRule type="expression" dxfId="411" priority="64">
      <formula>C30=TRUE</formula>
    </cfRule>
    <cfRule type="expression" dxfId="410" priority="63">
      <formula>C30=FALSE</formula>
    </cfRule>
  </conditionalFormatting>
  <conditionalFormatting sqref="C45:W45">
    <cfRule type="expression" dxfId="409" priority="61">
      <formula>C45=FALSE</formula>
    </cfRule>
    <cfRule type="expression" dxfId="408" priority="62">
      <formula>C45=TRUE</formula>
    </cfRule>
  </conditionalFormatting>
  <conditionalFormatting sqref="E10:E14">
    <cfRule type="containsText" dxfId="407" priority="13" operator="containsText" text="Remote">
      <formula>NOT(ISERROR(SEARCH("Remote",E10)))</formula>
    </cfRule>
    <cfRule type="containsText" dxfId="406" priority="14" operator="containsText" text="Office">
      <formula>NOT(ISERROR(SEARCH("Office",E10)))</formula>
    </cfRule>
  </conditionalFormatting>
  <conditionalFormatting sqref="E23:E27">
    <cfRule type="containsText" dxfId="405" priority="58" operator="containsText" text="Office">
      <formula>NOT(ISERROR(SEARCH("Office",E23)))</formula>
    </cfRule>
    <cfRule type="containsText" dxfId="404" priority="57" operator="containsText" text="Remote">
      <formula>NOT(ISERROR(SEARCH("Remote",E23)))</formula>
    </cfRule>
  </conditionalFormatting>
  <conditionalFormatting sqref="E38:E42">
    <cfRule type="containsText" dxfId="403" priority="44" operator="containsText" text="Office">
      <formula>NOT(ISERROR(SEARCH("Office",E38)))</formula>
    </cfRule>
    <cfRule type="containsText" dxfId="402" priority="43" operator="containsText" text="Remote">
      <formula>NOT(ISERROR(SEARCH("Remote",E38)))</formula>
    </cfRule>
  </conditionalFormatting>
  <conditionalFormatting sqref="H10:H14">
    <cfRule type="containsText" dxfId="401" priority="11" operator="containsText" text="Remote">
      <formula>NOT(ISERROR(SEARCH("Remote",H10)))</formula>
    </cfRule>
    <cfRule type="containsText" dxfId="400" priority="12" operator="containsText" text="Office">
      <formula>NOT(ISERROR(SEARCH("Office",H10)))</formula>
    </cfRule>
  </conditionalFormatting>
  <conditionalFormatting sqref="H23:H27">
    <cfRule type="containsText" dxfId="399" priority="56" operator="containsText" text="Office">
      <formula>NOT(ISERROR(SEARCH("Office",H23)))</formula>
    </cfRule>
    <cfRule type="containsText" dxfId="398" priority="55" operator="containsText" text="Remote">
      <formula>NOT(ISERROR(SEARCH("Remote",H23)))</formula>
    </cfRule>
  </conditionalFormatting>
  <conditionalFormatting sqref="H38:H42">
    <cfRule type="containsText" dxfId="397" priority="41" operator="containsText" text="Remote">
      <formula>NOT(ISERROR(SEARCH("Remote",H38)))</formula>
    </cfRule>
    <cfRule type="containsText" dxfId="396" priority="42" operator="containsText" text="Office">
      <formula>NOT(ISERROR(SEARCH("Office",H38)))</formula>
    </cfRule>
  </conditionalFormatting>
  <conditionalFormatting sqref="I31:T31">
    <cfRule type="expression" dxfId="395" priority="67">
      <formula>I31=FALSE</formula>
    </cfRule>
    <cfRule type="expression" dxfId="394" priority="68">
      <formula>I31=TRUE</formula>
    </cfRule>
  </conditionalFormatting>
  <conditionalFormatting sqref="I46:T46">
    <cfRule type="expression" dxfId="393" priority="66">
      <formula>I46=TRUE</formula>
    </cfRule>
    <cfRule type="expression" dxfId="392" priority="65">
      <formula>I46=FALSE</formula>
    </cfRule>
  </conditionalFormatting>
  <conditionalFormatting sqref="K10:K14">
    <cfRule type="containsText" dxfId="391" priority="9" operator="containsText" text="Remote">
      <formula>NOT(ISERROR(SEARCH("Remote",K10)))</formula>
    </cfRule>
    <cfRule type="containsText" dxfId="390" priority="10" operator="containsText" text="Office">
      <formula>NOT(ISERROR(SEARCH("Office",K10)))</formula>
    </cfRule>
  </conditionalFormatting>
  <conditionalFormatting sqref="K23:K27">
    <cfRule type="containsText" dxfId="389" priority="54" operator="containsText" text="Office">
      <formula>NOT(ISERROR(SEARCH("Office",K23)))</formula>
    </cfRule>
    <cfRule type="containsText" dxfId="388" priority="53" operator="containsText" text="Remote">
      <formula>NOT(ISERROR(SEARCH("Remote",K23)))</formula>
    </cfRule>
  </conditionalFormatting>
  <conditionalFormatting sqref="K38:K42">
    <cfRule type="containsText" dxfId="387" priority="21" operator="containsText" text="Remote">
      <formula>NOT(ISERROR(SEARCH("Remote",K38)))</formula>
    </cfRule>
    <cfRule type="containsText" dxfId="386" priority="22" operator="containsText" text="Office">
      <formula>NOT(ISERROR(SEARCH("Office",K38)))</formula>
    </cfRule>
  </conditionalFormatting>
  <conditionalFormatting sqref="N10:N14">
    <cfRule type="containsText" dxfId="385" priority="8" operator="containsText" text="Office">
      <formula>NOT(ISERROR(SEARCH("Office",N10)))</formula>
    </cfRule>
    <cfRule type="containsText" dxfId="384" priority="7" operator="containsText" text="Remote">
      <formula>NOT(ISERROR(SEARCH("Remote",N10)))</formula>
    </cfRule>
  </conditionalFormatting>
  <conditionalFormatting sqref="N23:N27">
    <cfRule type="containsText" dxfId="383" priority="29" operator="containsText" text="Remote">
      <formula>NOT(ISERROR(SEARCH("Remote",N23)))</formula>
    </cfRule>
    <cfRule type="containsText" dxfId="382" priority="30" operator="containsText" text="Office">
      <formula>NOT(ISERROR(SEARCH("Office",N23)))</formula>
    </cfRule>
  </conditionalFormatting>
  <conditionalFormatting sqref="N38:N42">
    <cfRule type="containsText" dxfId="381" priority="20" operator="containsText" text="Office">
      <formula>NOT(ISERROR(SEARCH("Office",N38)))</formula>
    </cfRule>
    <cfRule type="containsText" dxfId="380" priority="19" operator="containsText" text="Remote">
      <formula>NOT(ISERROR(SEARCH("Remote",N38)))</formula>
    </cfRule>
  </conditionalFormatting>
  <conditionalFormatting sqref="Q10:Q14">
    <cfRule type="containsText" dxfId="379" priority="6" operator="containsText" text="Office">
      <formula>NOT(ISERROR(SEARCH("Office",Q10)))</formula>
    </cfRule>
    <cfRule type="containsText" dxfId="378" priority="5" operator="containsText" text="Remote">
      <formula>NOT(ISERROR(SEARCH("Remote",Q10)))</formula>
    </cfRule>
  </conditionalFormatting>
  <conditionalFormatting sqref="Q23:Q27">
    <cfRule type="containsText" dxfId="377" priority="27" operator="containsText" text="Remote">
      <formula>NOT(ISERROR(SEARCH("Remote",Q23)))</formula>
    </cfRule>
    <cfRule type="containsText" dxfId="376" priority="28" operator="containsText" text="Office">
      <formula>NOT(ISERROR(SEARCH("Office",Q23)))</formula>
    </cfRule>
  </conditionalFormatting>
  <conditionalFormatting sqref="Q38:Q42">
    <cfRule type="containsText" dxfId="375" priority="18" operator="containsText" text="Office">
      <formula>NOT(ISERROR(SEARCH("Office",Q38)))</formula>
    </cfRule>
    <cfRule type="containsText" dxfId="374" priority="17" operator="containsText" text="Remote">
      <formula>NOT(ISERROR(SEARCH("Remote",Q38)))</formula>
    </cfRule>
  </conditionalFormatting>
  <conditionalFormatting sqref="T10:T14">
    <cfRule type="containsText" dxfId="373" priority="4" operator="containsText" text="Office">
      <formula>NOT(ISERROR(SEARCH("Office",T10)))</formula>
    </cfRule>
    <cfRule type="containsText" dxfId="372" priority="3" operator="containsText" text="Remote">
      <formula>NOT(ISERROR(SEARCH("Remote",T10)))</formula>
    </cfRule>
  </conditionalFormatting>
  <conditionalFormatting sqref="T23:T27">
    <cfRule type="containsText" dxfId="371" priority="26" operator="containsText" text="Office">
      <formula>NOT(ISERROR(SEARCH("Office",T23)))</formula>
    </cfRule>
    <cfRule type="containsText" dxfId="370" priority="25" operator="containsText" text="Remote">
      <formula>NOT(ISERROR(SEARCH("Remote",T23)))</formula>
    </cfRule>
  </conditionalFormatting>
  <conditionalFormatting sqref="T38:T42">
    <cfRule type="containsText" dxfId="369" priority="16" operator="containsText" text="Office">
      <formula>NOT(ISERROR(SEARCH("Office",T38)))</formula>
    </cfRule>
    <cfRule type="containsText" dxfId="368" priority="15" operator="containsText" text="Remote">
      <formula>NOT(ISERROR(SEARCH("Remote",T38)))</formula>
    </cfRule>
  </conditionalFormatting>
  <conditionalFormatting sqref="W10:W14">
    <cfRule type="containsText" dxfId="367" priority="1" operator="containsText" text="Remote">
      <formula>NOT(ISERROR(SEARCH("Remote",W10)))</formula>
    </cfRule>
    <cfRule type="containsText" dxfId="366" priority="2" operator="containsText" text="Office">
      <formula>NOT(ISERROR(SEARCH("Office",W10)))</formula>
    </cfRule>
  </conditionalFormatting>
  <conditionalFormatting sqref="W23:W27">
    <cfRule type="containsText" dxfId="365" priority="24" operator="containsText" text="Office">
      <formula>NOT(ISERROR(SEARCH("Office",W23)))</formula>
    </cfRule>
    <cfRule type="containsText" dxfId="364" priority="23" operator="containsText" text="Remote">
      <formula>NOT(ISERROR(SEARCH("Remote",W23)))</formula>
    </cfRule>
  </conditionalFormatting>
  <conditionalFormatting sqref="W38:W42">
    <cfRule type="containsText" dxfId="363" priority="31" operator="containsText" text="Remote">
      <formula>NOT(ISERROR(SEARCH("Remote",W38)))</formula>
    </cfRule>
    <cfRule type="containsText" dxfId="362" priority="32" operator="containsText" text="Office">
      <formula>NOT(ISERROR(SEARCH("Office",W38)))</formula>
    </cfRule>
  </conditionalFormatting>
  <dataValidations count="2">
    <dataValidation type="list" allowBlank="1" showInputMessage="1" showErrorMessage="1" sqref="N23:N27 W38:Y42 E23:E27 Q23:Q27 H23:H27 K23:K27 K38:K42 T23:T27 N38:N42 E38:E42 Q38:Q42 H38:H42 W23:Y27 T38:T42" xr:uid="{52FA7A16-5458-4975-8619-1804E15E8FD4}">
      <formula1>"Remote, Office"</formula1>
    </dataValidation>
    <dataValidation type="list" allowBlank="1" showInputMessage="1" showErrorMessage="1" sqref="E10:E14 H10:H14 K10:K14 N10:N14 Q10:Q14 T10:T14 W10:X14" xr:uid="{961FAB66-4BCB-4CD9-8B90-53ED01CFC89C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F514885D-28CE-4CB3-9B85-2D278FA98D08}">
          <x14:formula1>
            <xm:f>FormTools!$A$1:$A$48</xm:f>
          </x14:formula1>
          <xm:sqref>R23:S27 C23:D27 F23:G27 I23:J27 O38:P42 L23:M27 O23:P27 U38:V42 C38:D42 F38:G42 U23:V27 I38:J42 L38:M42 R38:S42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3BE6-72F6-4EEB-85A7-C99CADAF7C68}">
  <sheetPr codeName="Sheet23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249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250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251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252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125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253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242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323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254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255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103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0.52083333333333337</v>
      </c>
      <c r="K23" s="17" t="s">
        <v>11</v>
      </c>
      <c r="L23" s="15">
        <v>0.33333333333333331</v>
      </c>
      <c r="M23" s="15">
        <v>0.52083333333333337</v>
      </c>
      <c r="N23" s="17" t="s">
        <v>11</v>
      </c>
      <c r="O23" s="15">
        <v>0.33333333333333331</v>
      </c>
      <c r="P23" s="15">
        <v>0.52083333333333337</v>
      </c>
      <c r="Q23" s="17" t="s">
        <v>11</v>
      </c>
      <c r="R23" s="15">
        <v>0.33333333333333331</v>
      </c>
      <c r="S23" s="15">
        <v>0.52083333333333337</v>
      </c>
      <c r="T23" s="17" t="s">
        <v>11</v>
      </c>
      <c r="U23" s="15">
        <v>0.33333333333333331</v>
      </c>
      <c r="V23" s="15">
        <v>0.52083333333333337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0.54166666666666663</v>
      </c>
      <c r="J24" s="15">
        <v>0.70833333333333337</v>
      </c>
      <c r="K24" s="17" t="s">
        <v>11</v>
      </c>
      <c r="L24" s="15">
        <v>0.54166666666666663</v>
      </c>
      <c r="M24" s="15">
        <v>0.70833333333333337</v>
      </c>
      <c r="N24" s="17" t="s">
        <v>11</v>
      </c>
      <c r="O24" s="15">
        <v>0.54166666666666663</v>
      </c>
      <c r="P24" s="15">
        <v>0.70833333333333337</v>
      </c>
      <c r="Q24" s="17" t="s">
        <v>11</v>
      </c>
      <c r="R24" s="15">
        <v>0.54166666666666663</v>
      </c>
      <c r="S24" s="15">
        <v>0.70833333333333337</v>
      </c>
      <c r="T24" s="17" t="s">
        <v>11</v>
      </c>
      <c r="U24" s="15">
        <v>0.54166666666666663</v>
      </c>
      <c r="V24" s="15">
        <v>0.64583333333333337</v>
      </c>
      <c r="W24" s="17" t="s">
        <v>11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8.5000000000000036</v>
      </c>
      <c r="J29" s="63"/>
      <c r="K29" s="64"/>
      <c r="L29" s="62" cm="1">
        <f t="array" ref="L29">SUM((M23:M27-L23:L27)*24)</f>
        <v>8.5000000000000036</v>
      </c>
      <c r="M29" s="63"/>
      <c r="N29" s="64"/>
      <c r="O29" s="62" cm="1">
        <f t="array" ref="O29">SUM((P23:P27-O23:O27)*24)</f>
        <v>8.5000000000000036</v>
      </c>
      <c r="P29" s="63"/>
      <c r="Q29" s="64"/>
      <c r="R29" s="62" cm="1">
        <f t="array" ref="R29">SUM((S23:S27-R23:R27)*24)</f>
        <v>8.5000000000000036</v>
      </c>
      <c r="S29" s="63"/>
      <c r="T29" s="64"/>
      <c r="U29" s="62" cm="1">
        <f t="array" ref="U29">SUM((V23:V27-U23:U27)*24)</f>
        <v>7.0000000000000036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41.000000000000014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0.52083333333333337</v>
      </c>
      <c r="K38" s="17" t="s">
        <v>11</v>
      </c>
      <c r="L38" s="15">
        <v>0.33333333333333331</v>
      </c>
      <c r="M38" s="15">
        <v>0.52083333333333337</v>
      </c>
      <c r="N38" s="17" t="s">
        <v>11</v>
      </c>
      <c r="O38" s="15">
        <v>0.33333333333333331</v>
      </c>
      <c r="P38" s="15">
        <v>0.52083333333333337</v>
      </c>
      <c r="Q38" s="17" t="s">
        <v>11</v>
      </c>
      <c r="R38" s="15">
        <v>0.33333333333333331</v>
      </c>
      <c r="S38" s="15">
        <v>0.52083333333333337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0.54166666666666663</v>
      </c>
      <c r="J39" s="15">
        <v>0.70833333333333337</v>
      </c>
      <c r="K39" s="17" t="s">
        <v>11</v>
      </c>
      <c r="L39" s="15">
        <v>0.54166666666666663</v>
      </c>
      <c r="M39" s="15">
        <v>0.70833333333333337</v>
      </c>
      <c r="N39" s="17" t="s">
        <v>11</v>
      </c>
      <c r="O39" s="15">
        <v>0.54166666666666663</v>
      </c>
      <c r="P39" s="15">
        <v>0.70833333333333337</v>
      </c>
      <c r="Q39" s="17" t="s">
        <v>11</v>
      </c>
      <c r="R39" s="15">
        <v>0.54166666666666663</v>
      </c>
      <c r="S39" s="15">
        <v>0.70833333333333337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8.5000000000000036</v>
      </c>
      <c r="J44" s="63"/>
      <c r="K44" s="64"/>
      <c r="L44" s="62" cm="1">
        <f t="array" ref="L44">SUM((M38:M42-L38:L42)*24)</f>
        <v>8.5000000000000036</v>
      </c>
      <c r="M44" s="63"/>
      <c r="N44" s="64"/>
      <c r="O44" s="62" cm="1">
        <f t="array" ref="O44">SUM((P38:P42-O38:O42)*24)</f>
        <v>8.5000000000000036</v>
      </c>
      <c r="P44" s="63"/>
      <c r="Q44" s="64"/>
      <c r="R44" s="62" cm="1">
        <f t="array" ref="R44">SUM((S38:S42-R38:R42)*24)</f>
        <v>8.5000000000000036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34.000000000000014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361" priority="46">
      <formula>C50=TRUE</formula>
    </cfRule>
    <cfRule type="expression" dxfId="360" priority="45">
      <formula>C50=FALSE</formula>
    </cfRule>
  </conditionalFormatting>
  <conditionalFormatting sqref="C30:W30">
    <cfRule type="expression" dxfId="359" priority="50">
      <formula>C30=TRUE</formula>
    </cfRule>
    <cfRule type="expression" dxfId="358" priority="49">
      <formula>C30=FALSE</formula>
    </cfRule>
  </conditionalFormatting>
  <conditionalFormatting sqref="C45:W45">
    <cfRule type="expression" dxfId="357" priority="48">
      <formula>C45=TRUE</formula>
    </cfRule>
    <cfRule type="expression" dxfId="356" priority="47">
      <formula>C45=FALSE</formula>
    </cfRule>
  </conditionalFormatting>
  <conditionalFormatting sqref="E10:E14">
    <cfRule type="containsText" dxfId="355" priority="9" operator="containsText" text="Remote">
      <formula>NOT(ISERROR(SEARCH("Remote",E10)))</formula>
    </cfRule>
    <cfRule type="containsText" dxfId="354" priority="10" operator="containsText" text="Office">
      <formula>NOT(ISERROR(SEARCH("Office",E10)))</formula>
    </cfRule>
  </conditionalFormatting>
  <conditionalFormatting sqref="E23:E27">
    <cfRule type="containsText" dxfId="353" priority="44" operator="containsText" text="Office">
      <formula>NOT(ISERROR(SEARCH("Office",E23)))</formula>
    </cfRule>
    <cfRule type="containsText" dxfId="352" priority="43" operator="containsText" text="Remote">
      <formula>NOT(ISERROR(SEARCH("Remote",E23)))</formula>
    </cfRule>
  </conditionalFormatting>
  <conditionalFormatting sqref="E38:E42">
    <cfRule type="containsText" dxfId="351" priority="30" operator="containsText" text="Office">
      <formula>NOT(ISERROR(SEARCH("Office",E38)))</formula>
    </cfRule>
    <cfRule type="containsText" dxfId="350" priority="29" operator="containsText" text="Remote">
      <formula>NOT(ISERROR(SEARCH("Remote",E38)))</formula>
    </cfRule>
  </conditionalFormatting>
  <conditionalFormatting sqref="H10:H14">
    <cfRule type="containsText" dxfId="349" priority="7" operator="containsText" text="Remote">
      <formula>NOT(ISERROR(SEARCH("Remote",H10)))</formula>
    </cfRule>
    <cfRule type="containsText" dxfId="348" priority="8" operator="containsText" text="Office">
      <formula>NOT(ISERROR(SEARCH("Office",H10)))</formula>
    </cfRule>
  </conditionalFormatting>
  <conditionalFormatting sqref="H23:H27">
    <cfRule type="containsText" dxfId="347" priority="42" operator="containsText" text="Office">
      <formula>NOT(ISERROR(SEARCH("Office",H23)))</formula>
    </cfRule>
    <cfRule type="containsText" dxfId="346" priority="41" operator="containsText" text="Remote">
      <formula>NOT(ISERROR(SEARCH("Remote",H23)))</formula>
    </cfRule>
  </conditionalFormatting>
  <conditionalFormatting sqref="H38:H42">
    <cfRule type="containsText" dxfId="345" priority="28" operator="containsText" text="Office">
      <formula>NOT(ISERROR(SEARCH("Office",H38)))</formula>
    </cfRule>
    <cfRule type="containsText" dxfId="344" priority="27" operator="containsText" text="Remote">
      <formula>NOT(ISERROR(SEARCH("Remote",H38)))</formula>
    </cfRule>
  </conditionalFormatting>
  <conditionalFormatting sqref="I31:T31">
    <cfRule type="expression" dxfId="343" priority="53">
      <formula>I31=FALSE</formula>
    </cfRule>
    <cfRule type="expression" dxfId="342" priority="54">
      <formula>I31=TRUE</formula>
    </cfRule>
  </conditionalFormatting>
  <conditionalFormatting sqref="I46:T46">
    <cfRule type="expression" dxfId="341" priority="51">
      <formula>I46=FALSE</formula>
    </cfRule>
    <cfRule type="expression" dxfId="340" priority="52">
      <formula>I46=TRUE</formula>
    </cfRule>
  </conditionalFormatting>
  <conditionalFormatting sqref="K10:K14">
    <cfRule type="containsText" dxfId="339" priority="6" operator="containsText" text="Office">
      <formula>NOT(ISERROR(SEARCH("Office",K10)))</formula>
    </cfRule>
    <cfRule type="containsText" dxfId="338" priority="5" operator="containsText" text="Remote">
      <formula>NOT(ISERROR(SEARCH("Remote",K10)))</formula>
    </cfRule>
  </conditionalFormatting>
  <conditionalFormatting sqref="K23:K27">
    <cfRule type="containsText" dxfId="337" priority="39" operator="containsText" text="Remote">
      <formula>NOT(ISERROR(SEARCH("Remote",K23)))</formula>
    </cfRule>
    <cfRule type="containsText" dxfId="336" priority="40" operator="containsText" text="Office">
      <formula>NOT(ISERROR(SEARCH("Office",K23)))</formula>
    </cfRule>
  </conditionalFormatting>
  <conditionalFormatting sqref="K38:K42 N38:N42 Q38:Q42 T38:T42">
    <cfRule type="containsText" dxfId="335" priority="16" operator="containsText" text="Office">
      <formula>NOT(ISERROR(SEARCH("Office",K38)))</formula>
    </cfRule>
    <cfRule type="containsText" dxfId="334" priority="15" operator="containsText" text="Remote">
      <formula>NOT(ISERROR(SEARCH("Remote",K38)))</formula>
    </cfRule>
  </conditionalFormatting>
  <conditionalFormatting sqref="N10:N14 Q10:Q14 T10:T14">
    <cfRule type="containsText" dxfId="333" priority="4" operator="containsText" text="Office">
      <formula>NOT(ISERROR(SEARCH("Office",N10)))</formula>
    </cfRule>
    <cfRule type="containsText" dxfId="332" priority="3" operator="containsText" text="Remote">
      <formula>NOT(ISERROR(SEARCH("Remote",N10)))</formula>
    </cfRule>
  </conditionalFormatting>
  <conditionalFormatting sqref="N23:N27 Q23:Q27 T23:T27">
    <cfRule type="containsText" dxfId="331" priority="14" operator="containsText" text="Office">
      <formula>NOT(ISERROR(SEARCH("Office",N23)))</formula>
    </cfRule>
    <cfRule type="containsText" dxfId="330" priority="13" operator="containsText" text="Remote">
      <formula>NOT(ISERROR(SEARCH("Remote",N23)))</formula>
    </cfRule>
  </conditionalFormatting>
  <conditionalFormatting sqref="W10:W14">
    <cfRule type="containsText" dxfId="329" priority="2" operator="containsText" text="Office">
      <formula>NOT(ISERROR(SEARCH("Office",W10)))</formula>
    </cfRule>
    <cfRule type="containsText" dxfId="328" priority="1" operator="containsText" text="Remote">
      <formula>NOT(ISERROR(SEARCH("Remote",W10)))</formula>
    </cfRule>
  </conditionalFormatting>
  <conditionalFormatting sqref="W23:W27">
    <cfRule type="containsText" dxfId="327" priority="12" operator="containsText" text="Office">
      <formula>NOT(ISERROR(SEARCH("Office",W23)))</formula>
    </cfRule>
    <cfRule type="containsText" dxfId="326" priority="11" operator="containsText" text="Remote">
      <formula>NOT(ISERROR(SEARCH("Remote",W23)))</formula>
    </cfRule>
  </conditionalFormatting>
  <conditionalFormatting sqref="W38:W42">
    <cfRule type="containsText" dxfId="325" priority="17" operator="containsText" text="Remote">
      <formula>NOT(ISERROR(SEARCH("Remote",W38)))</formula>
    </cfRule>
    <cfRule type="containsText" dxfId="324" priority="18" operator="containsText" text="Office">
      <formula>NOT(ISERROR(SEARCH("Office",W38)))</formula>
    </cfRule>
  </conditionalFormatting>
  <dataValidations count="2">
    <dataValidation type="list" allowBlank="1" showInputMessage="1" showErrorMessage="1" sqref="T23:T27 W38:Y42 E23:E27 N23:N27 H23:H27 K23:K27 Q38:Q42 Q23:Q27 T38:T42 E38:E42 K38:K42 H38:H42 N38:N42 W23:Y27" xr:uid="{9A90E8DC-94CB-4A00-92B5-BA555D858A30}">
      <formula1>"Remote, Office"</formula1>
    </dataValidation>
    <dataValidation type="list" allowBlank="1" showInputMessage="1" showErrorMessage="1" sqref="E10:E14 H10:H14 K10:K14 N10:N14 Q10:Q14 T10:T14 W10:X14" xr:uid="{5AF58111-56EC-49CA-B249-797DC1A7CEDB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0F010DB7-CEFA-4146-ABB4-37B04BD9124D}">
          <x14:formula1>
            <xm:f>FormTools!$A$1:$A$48</xm:f>
          </x14:formula1>
          <xm:sqref>L23:M27 C23:D27 F23:G27 I23:J27 O23:P27 R23:S27 I38:J42 U38:V42 C38:D42 F38:G42 L38:M42 O38:P42 R38:S42 U23:V27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9161-90A3-4387-9A05-0C7DF2083734}">
  <sheetPr codeName="Sheet31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256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257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258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259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158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260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210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322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261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262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82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11</v>
      </c>
      <c r="L23" s="15">
        <v>0.33333333333333331</v>
      </c>
      <c r="M23" s="15">
        <v>0.5</v>
      </c>
      <c r="N23" s="17" t="s">
        <v>23</v>
      </c>
      <c r="O23" s="15">
        <v>0.33333333333333331</v>
      </c>
      <c r="P23" s="15">
        <v>0.5</v>
      </c>
      <c r="Q23" s="17" t="s">
        <v>23</v>
      </c>
      <c r="R23" s="15">
        <v>0.33333333333333331</v>
      </c>
      <c r="S23" s="15">
        <v>0.5</v>
      </c>
      <c r="T23" s="17" t="s">
        <v>11</v>
      </c>
      <c r="U23" s="15">
        <v>0.3125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0.70833333333333337</v>
      </c>
      <c r="K24" s="17" t="s">
        <v>11</v>
      </c>
      <c r="L24" s="15">
        <v>0.52083333333333337</v>
      </c>
      <c r="M24" s="15">
        <v>0.70833333333333337</v>
      </c>
      <c r="N24" s="17" t="s">
        <v>23</v>
      </c>
      <c r="O24" s="15">
        <v>0.52083333333333337</v>
      </c>
      <c r="P24" s="15">
        <v>0.70833333333333337</v>
      </c>
      <c r="Q24" s="17" t="s">
        <v>23</v>
      </c>
      <c r="R24" s="15">
        <v>0.52083333333333337</v>
      </c>
      <c r="S24" s="15">
        <v>0.70833333333333337</v>
      </c>
      <c r="T24" s="17" t="s">
        <v>11</v>
      </c>
      <c r="U24" s="15">
        <v>0.52083333333333337</v>
      </c>
      <c r="V24" s="15">
        <v>0.58333333333333337</v>
      </c>
      <c r="W24" s="17" t="s">
        <v>11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6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0.3125</v>
      </c>
      <c r="J38" s="15">
        <v>0.5</v>
      </c>
      <c r="K38" s="17" t="s">
        <v>11</v>
      </c>
      <c r="L38" s="15">
        <v>0.33333333333333331</v>
      </c>
      <c r="M38" s="15">
        <v>0.5</v>
      </c>
      <c r="N38" s="17" t="s">
        <v>23</v>
      </c>
      <c r="O38" s="15">
        <v>0.33333333333333331</v>
      </c>
      <c r="P38" s="15">
        <v>0.5</v>
      </c>
      <c r="Q38" s="17" t="s">
        <v>23</v>
      </c>
      <c r="R38" s="15">
        <v>0.3125</v>
      </c>
      <c r="S38" s="15">
        <v>0.5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0.70833333333333337</v>
      </c>
      <c r="K39" s="17" t="s">
        <v>11</v>
      </c>
      <c r="L39" s="15">
        <v>0.52083333333333337</v>
      </c>
      <c r="M39" s="15">
        <v>0.70833333333333337</v>
      </c>
      <c r="N39" s="17" t="s">
        <v>23</v>
      </c>
      <c r="O39" s="15">
        <v>0.52083333333333337</v>
      </c>
      <c r="P39" s="15">
        <v>0.70833333333333337</v>
      </c>
      <c r="Q39" s="17" t="s">
        <v>23</v>
      </c>
      <c r="R39" s="15">
        <v>0.52083333333333337</v>
      </c>
      <c r="S39" s="15">
        <v>0.70833333333333337</v>
      </c>
      <c r="T39" s="17" t="s">
        <v>11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9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9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35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323" priority="48">
      <formula>C50=TRUE</formula>
    </cfRule>
    <cfRule type="expression" dxfId="322" priority="47">
      <formula>C50=FALSE</formula>
    </cfRule>
  </conditionalFormatting>
  <conditionalFormatting sqref="C30:W30">
    <cfRule type="expression" dxfId="321" priority="52">
      <formula>C30=TRUE</formula>
    </cfRule>
    <cfRule type="expression" dxfId="320" priority="51">
      <formula>C30=FALSE</formula>
    </cfRule>
  </conditionalFormatting>
  <conditionalFormatting sqref="C45:W45">
    <cfRule type="expression" dxfId="319" priority="50">
      <formula>C45=TRUE</formula>
    </cfRule>
    <cfRule type="expression" dxfId="318" priority="49">
      <formula>C45=FALSE</formula>
    </cfRule>
  </conditionalFormatting>
  <conditionalFormatting sqref="E10:E14">
    <cfRule type="containsText" dxfId="317" priority="9" operator="containsText" text="Remote">
      <formula>NOT(ISERROR(SEARCH("Remote",E10)))</formula>
    </cfRule>
    <cfRule type="containsText" dxfId="316" priority="10" operator="containsText" text="Office">
      <formula>NOT(ISERROR(SEARCH("Office",E10)))</formula>
    </cfRule>
  </conditionalFormatting>
  <conditionalFormatting sqref="E23:E27">
    <cfRule type="containsText" dxfId="315" priority="46" operator="containsText" text="Office">
      <formula>NOT(ISERROR(SEARCH("Office",E23)))</formula>
    </cfRule>
    <cfRule type="containsText" dxfId="314" priority="45" operator="containsText" text="Remote">
      <formula>NOT(ISERROR(SEARCH("Remote",E23)))</formula>
    </cfRule>
  </conditionalFormatting>
  <conditionalFormatting sqref="E38:E42">
    <cfRule type="containsText" dxfId="313" priority="31" operator="containsText" text="Remote">
      <formula>NOT(ISERROR(SEARCH("Remote",E38)))</formula>
    </cfRule>
    <cfRule type="containsText" dxfId="312" priority="32" operator="containsText" text="Office">
      <formula>NOT(ISERROR(SEARCH("Office",E38)))</formula>
    </cfRule>
  </conditionalFormatting>
  <conditionalFormatting sqref="H10:H14">
    <cfRule type="containsText" dxfId="311" priority="7" operator="containsText" text="Remote">
      <formula>NOT(ISERROR(SEARCH("Remote",H10)))</formula>
    </cfRule>
    <cfRule type="containsText" dxfId="310" priority="8" operator="containsText" text="Office">
      <formula>NOT(ISERROR(SEARCH("Office",H10)))</formula>
    </cfRule>
  </conditionalFormatting>
  <conditionalFormatting sqref="H23:H27">
    <cfRule type="containsText" dxfId="309" priority="44" operator="containsText" text="Office">
      <formula>NOT(ISERROR(SEARCH("Office",H23)))</formula>
    </cfRule>
    <cfRule type="containsText" dxfId="308" priority="43" operator="containsText" text="Remote">
      <formula>NOT(ISERROR(SEARCH("Remote",H23)))</formula>
    </cfRule>
  </conditionalFormatting>
  <conditionalFormatting sqref="H38:H42">
    <cfRule type="containsText" dxfId="307" priority="29" operator="containsText" text="Remote">
      <formula>NOT(ISERROR(SEARCH("Remote",H38)))</formula>
    </cfRule>
    <cfRule type="containsText" dxfId="306" priority="30" operator="containsText" text="Office">
      <formula>NOT(ISERROR(SEARCH("Office",H38)))</formula>
    </cfRule>
  </conditionalFormatting>
  <conditionalFormatting sqref="I31:T31">
    <cfRule type="expression" dxfId="305" priority="56">
      <formula>I31=TRUE</formula>
    </cfRule>
    <cfRule type="expression" dxfId="304" priority="55">
      <formula>I31=FALSE</formula>
    </cfRule>
  </conditionalFormatting>
  <conditionalFormatting sqref="I46:T46">
    <cfRule type="expression" dxfId="303" priority="53">
      <formula>I46=FALSE</formula>
    </cfRule>
    <cfRule type="expression" dxfId="302" priority="54">
      <formula>I46=TRUE</formula>
    </cfRule>
  </conditionalFormatting>
  <conditionalFormatting sqref="K10:K14">
    <cfRule type="containsText" dxfId="301" priority="6" operator="containsText" text="Office">
      <formula>NOT(ISERROR(SEARCH("Office",K10)))</formula>
    </cfRule>
    <cfRule type="containsText" dxfId="300" priority="5" operator="containsText" text="Remote">
      <formula>NOT(ISERROR(SEARCH("Remote",K10)))</formula>
    </cfRule>
  </conditionalFormatting>
  <conditionalFormatting sqref="K23:K27">
    <cfRule type="containsText" dxfId="299" priority="41" operator="containsText" text="Remote">
      <formula>NOT(ISERROR(SEARCH("Remote",K23)))</formula>
    </cfRule>
    <cfRule type="containsText" dxfId="298" priority="42" operator="containsText" text="Office">
      <formula>NOT(ISERROR(SEARCH("Office",K23)))</formula>
    </cfRule>
  </conditionalFormatting>
  <conditionalFormatting sqref="K38:K42">
    <cfRule type="containsText" dxfId="297" priority="16" operator="containsText" text="Office">
      <formula>NOT(ISERROR(SEARCH("Office",K38)))</formula>
    </cfRule>
    <cfRule type="containsText" dxfId="296" priority="15" operator="containsText" text="Remote">
      <formula>NOT(ISERROR(SEARCH("Remote",K38)))</formula>
    </cfRule>
  </conditionalFormatting>
  <conditionalFormatting sqref="N10:N14 Q10:Q14 T10:T14">
    <cfRule type="containsText" dxfId="295" priority="2" operator="containsText" text="Office">
      <formula>NOT(ISERROR(SEARCH("Office",N10)))</formula>
    </cfRule>
    <cfRule type="containsText" dxfId="294" priority="1" operator="containsText" text="Remote">
      <formula>NOT(ISERROR(SEARCH("Remote",N10)))</formula>
    </cfRule>
  </conditionalFormatting>
  <conditionalFormatting sqref="N23:N27 Q23:Q27 T23:T27">
    <cfRule type="containsText" dxfId="293" priority="17" operator="containsText" text="Remote">
      <formula>NOT(ISERROR(SEARCH("Remote",N23)))</formula>
    </cfRule>
    <cfRule type="containsText" dxfId="292" priority="18" operator="containsText" text="Office">
      <formula>NOT(ISERROR(SEARCH("Office",N23)))</formula>
    </cfRule>
  </conditionalFormatting>
  <conditionalFormatting sqref="N38:N42 Q38:Q42 T38:T42">
    <cfRule type="containsText" dxfId="291" priority="14" operator="containsText" text="Office">
      <formula>NOT(ISERROR(SEARCH("Office",N38)))</formula>
    </cfRule>
    <cfRule type="containsText" dxfId="290" priority="13" operator="containsText" text="Remote">
      <formula>NOT(ISERROR(SEARCH("Remote",N38)))</formula>
    </cfRule>
  </conditionalFormatting>
  <conditionalFormatting sqref="W10:W14">
    <cfRule type="containsText" dxfId="289" priority="3" operator="containsText" text="Remote">
      <formula>NOT(ISERROR(SEARCH("Remote",W10)))</formula>
    </cfRule>
    <cfRule type="containsText" dxfId="288" priority="4" operator="containsText" text="Office">
      <formula>NOT(ISERROR(SEARCH("Office",W10)))</formula>
    </cfRule>
  </conditionalFormatting>
  <conditionalFormatting sqref="W23:W27">
    <cfRule type="containsText" dxfId="287" priority="33" operator="containsText" text="Remote">
      <formula>NOT(ISERROR(SEARCH("Remote",W23)))</formula>
    </cfRule>
    <cfRule type="containsText" dxfId="286" priority="34" operator="containsText" text="Office">
      <formula>NOT(ISERROR(SEARCH("Office",W23)))</formula>
    </cfRule>
  </conditionalFormatting>
  <conditionalFormatting sqref="W38:W42">
    <cfRule type="containsText" dxfId="285" priority="12" operator="containsText" text="Office">
      <formula>NOT(ISERROR(SEARCH("Office",W38)))</formula>
    </cfRule>
    <cfRule type="containsText" dxfId="284" priority="11" operator="containsText" text="Remote">
      <formula>NOT(ISERROR(SEARCH("Remote",W38)))</formula>
    </cfRule>
  </conditionalFormatting>
  <dataValidations count="2">
    <dataValidation type="list" allowBlank="1" showInputMessage="1" showErrorMessage="1" sqref="T23:T27 N38:N42 E23:E27 N23:N27 H23:H27 K23:K27 Q38:Q42 W23:Y27 T38:T42 E38:E42 K38:K42 H38:H42 Q23:Q27 W38:Y42" xr:uid="{5903F709-C5E0-4E0A-A622-CB3D83F6B36E}">
      <formula1>"Remote, Office"</formula1>
    </dataValidation>
    <dataValidation type="list" allowBlank="1" showInputMessage="1" showErrorMessage="1" sqref="E10:E14 H10:H14 K10:K14 N10:N14 Q10:Q14 T10:T14 W10:X14" xr:uid="{5EF0BB46-85EE-4E45-A906-5C88EBAD1946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5AD1F76F-1A32-4244-AD1D-AFECD77A2306}">
          <x14:formula1>
            <xm:f>FormTools!$A$1:$A$48</xm:f>
          </x14:formula1>
          <xm:sqref>U23:V27 C23:D27 F23:G27 I23:J27 O23:P27 R23:S27 I38:J42 R38:S42 C38:D42 F38:G42 L38:M42 O38:P42 L23:M27 U38:V42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0AD1-3F59-4D07-80E4-411962219BEC}">
  <sheetPr codeName="Sheet25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263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264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265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266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267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268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245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321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269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270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55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84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0.27083333333333331</v>
      </c>
      <c r="J23" s="15">
        <v>0.64583333333333337</v>
      </c>
      <c r="K23" s="17" t="s">
        <v>11</v>
      </c>
      <c r="L23" s="15">
        <v>0.27083333333333331</v>
      </c>
      <c r="M23" s="15">
        <v>0.64583333333333337</v>
      </c>
      <c r="N23" s="17" t="s">
        <v>11</v>
      </c>
      <c r="O23" s="15">
        <v>0.27083333333333331</v>
      </c>
      <c r="P23" s="15">
        <v>0.64583333333333337</v>
      </c>
      <c r="Q23" s="17" t="s">
        <v>11</v>
      </c>
      <c r="R23" s="15">
        <v>0.27083333333333331</v>
      </c>
      <c r="S23" s="15">
        <v>0.64583333333333337</v>
      </c>
      <c r="T23" s="17" t="s">
        <v>11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9.0000000000000018</v>
      </c>
      <c r="J29" s="63"/>
      <c r="K29" s="64"/>
      <c r="L29" s="62" cm="1">
        <f t="array" ref="L29">SUM((M23:M27-L23:L27)*24)</f>
        <v>9.0000000000000018</v>
      </c>
      <c r="M29" s="63"/>
      <c r="N29" s="64"/>
      <c r="O29" s="62" cm="1">
        <f t="array" ref="O29">SUM((P23:P27-O23:O27)*24)</f>
        <v>9.0000000000000018</v>
      </c>
      <c r="P29" s="63"/>
      <c r="Q29" s="64"/>
      <c r="R29" s="62" cm="1">
        <f t="array" ref="R29">SUM((S23:S27-R23:R27)*24)</f>
        <v>9.0000000000000018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36.000000000000007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0.27083333333333331</v>
      </c>
      <c r="J38" s="15">
        <v>0.64583333333333337</v>
      </c>
      <c r="K38" s="17" t="s">
        <v>11</v>
      </c>
      <c r="L38" s="15">
        <v>0.27083333333333331</v>
      </c>
      <c r="M38" s="15">
        <v>0.64583333333333337</v>
      </c>
      <c r="N38" s="17" t="s">
        <v>11</v>
      </c>
      <c r="O38" s="15">
        <v>0.27083333333333331</v>
      </c>
      <c r="P38" s="15">
        <v>0.64583333333333337</v>
      </c>
      <c r="Q38" s="17" t="s">
        <v>11</v>
      </c>
      <c r="R38" s="15">
        <v>0.27083333333333331</v>
      </c>
      <c r="S38" s="15">
        <v>0.64583333333333337</v>
      </c>
      <c r="T38" s="17" t="s">
        <v>11</v>
      </c>
      <c r="U38" s="15">
        <v>0.29166666666666669</v>
      </c>
      <c r="V38" s="15">
        <v>0.41666666666666669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9.0000000000000018</v>
      </c>
      <c r="J44" s="63"/>
      <c r="K44" s="64"/>
      <c r="L44" s="62" cm="1">
        <f t="array" ref="L44">SUM((M38:M42-L38:L42)*24)</f>
        <v>9.0000000000000018</v>
      </c>
      <c r="M44" s="63"/>
      <c r="N44" s="64"/>
      <c r="O44" s="62" cm="1">
        <f t="array" ref="O44">SUM((P38:P42-O38:O42)*24)</f>
        <v>9.0000000000000018</v>
      </c>
      <c r="P44" s="63"/>
      <c r="Q44" s="64"/>
      <c r="R44" s="62" cm="1">
        <f t="array" ref="R44">SUM((S38:S42-R38:R42)*24)</f>
        <v>9.0000000000000018</v>
      </c>
      <c r="S44" s="63"/>
      <c r="T44" s="64"/>
      <c r="U44" s="62" cm="1">
        <f t="array" ref="U44">SUM((V38:V42-U38:U42)*24)</f>
        <v>3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39.000000000000007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283" priority="60">
      <formula>C50=TRUE</formula>
    </cfRule>
    <cfRule type="expression" dxfId="282" priority="59">
      <formula>C50=FALSE</formula>
    </cfRule>
  </conditionalFormatting>
  <conditionalFormatting sqref="C30:W30">
    <cfRule type="expression" dxfId="281" priority="63">
      <formula>C30=FALSE</formula>
    </cfRule>
    <cfRule type="expression" dxfId="280" priority="64">
      <formula>C30=TRUE</formula>
    </cfRule>
  </conditionalFormatting>
  <conditionalFormatting sqref="C45:W45">
    <cfRule type="expression" dxfId="279" priority="61">
      <formula>C45=FALSE</formula>
    </cfRule>
    <cfRule type="expression" dxfId="278" priority="62">
      <formula>C45=TRUE</formula>
    </cfRule>
  </conditionalFormatting>
  <conditionalFormatting sqref="E10:E14">
    <cfRule type="containsText" dxfId="277" priority="13" operator="containsText" text="Remote">
      <formula>NOT(ISERROR(SEARCH("Remote",E10)))</formula>
    </cfRule>
    <cfRule type="containsText" dxfId="276" priority="14" operator="containsText" text="Office">
      <formula>NOT(ISERROR(SEARCH("Office",E10)))</formula>
    </cfRule>
  </conditionalFormatting>
  <conditionalFormatting sqref="E23:E27">
    <cfRule type="containsText" dxfId="275" priority="58" operator="containsText" text="Office">
      <formula>NOT(ISERROR(SEARCH("Office",E23)))</formula>
    </cfRule>
    <cfRule type="containsText" dxfId="274" priority="57" operator="containsText" text="Remote">
      <formula>NOT(ISERROR(SEARCH("Remote",E23)))</formula>
    </cfRule>
  </conditionalFormatting>
  <conditionalFormatting sqref="E38:E42">
    <cfRule type="containsText" dxfId="273" priority="44" operator="containsText" text="Office">
      <formula>NOT(ISERROR(SEARCH("Office",E38)))</formula>
    </cfRule>
    <cfRule type="containsText" dxfId="272" priority="43" operator="containsText" text="Remote">
      <formula>NOT(ISERROR(SEARCH("Remote",E38)))</formula>
    </cfRule>
  </conditionalFormatting>
  <conditionalFormatting sqref="H10:H14">
    <cfRule type="containsText" dxfId="271" priority="11" operator="containsText" text="Remote">
      <formula>NOT(ISERROR(SEARCH("Remote",H10)))</formula>
    </cfRule>
    <cfRule type="containsText" dxfId="270" priority="12" operator="containsText" text="Office">
      <formula>NOT(ISERROR(SEARCH("Office",H10)))</formula>
    </cfRule>
  </conditionalFormatting>
  <conditionalFormatting sqref="H23:H27">
    <cfRule type="containsText" dxfId="269" priority="56" operator="containsText" text="Office">
      <formula>NOT(ISERROR(SEARCH("Office",H23)))</formula>
    </cfRule>
    <cfRule type="containsText" dxfId="268" priority="55" operator="containsText" text="Remote">
      <formula>NOT(ISERROR(SEARCH("Remote",H23)))</formula>
    </cfRule>
  </conditionalFormatting>
  <conditionalFormatting sqref="H38:H42">
    <cfRule type="containsText" dxfId="267" priority="41" operator="containsText" text="Remote">
      <formula>NOT(ISERROR(SEARCH("Remote",H38)))</formula>
    </cfRule>
    <cfRule type="containsText" dxfId="266" priority="42" operator="containsText" text="Office">
      <formula>NOT(ISERROR(SEARCH("Office",H38)))</formula>
    </cfRule>
  </conditionalFormatting>
  <conditionalFormatting sqref="I31:T31">
    <cfRule type="expression" dxfId="265" priority="67">
      <formula>I31=FALSE</formula>
    </cfRule>
    <cfRule type="expression" dxfId="264" priority="68">
      <formula>I31=TRUE</formula>
    </cfRule>
  </conditionalFormatting>
  <conditionalFormatting sqref="I46:T46">
    <cfRule type="expression" dxfId="263" priority="65">
      <formula>I46=FALSE</formula>
    </cfRule>
    <cfRule type="expression" dxfId="262" priority="66">
      <formula>I46=TRUE</formula>
    </cfRule>
  </conditionalFormatting>
  <conditionalFormatting sqref="K10:K14">
    <cfRule type="containsText" dxfId="261" priority="9" operator="containsText" text="Remote">
      <formula>NOT(ISERROR(SEARCH("Remote",K10)))</formula>
    </cfRule>
    <cfRule type="containsText" dxfId="260" priority="10" operator="containsText" text="Office">
      <formula>NOT(ISERROR(SEARCH("Office",K10)))</formula>
    </cfRule>
  </conditionalFormatting>
  <conditionalFormatting sqref="K23:K27">
    <cfRule type="containsText" dxfId="259" priority="54" operator="containsText" text="Office">
      <formula>NOT(ISERROR(SEARCH("Office",K23)))</formula>
    </cfRule>
    <cfRule type="containsText" dxfId="258" priority="53" operator="containsText" text="Remote">
      <formula>NOT(ISERROR(SEARCH("Remote",K23)))</formula>
    </cfRule>
  </conditionalFormatting>
  <conditionalFormatting sqref="K38:K42 N38:N42 Q38:Q42 T38:T42">
    <cfRule type="containsText" dxfId="257" priority="15" operator="containsText" text="Remote">
      <formula>NOT(ISERROR(SEARCH("Remote",K38)))</formula>
    </cfRule>
    <cfRule type="containsText" dxfId="256" priority="16" operator="containsText" text="Office">
      <formula>NOT(ISERROR(SEARCH("Office",K38)))</formula>
    </cfRule>
  </conditionalFormatting>
  <conditionalFormatting sqref="N10:N14">
    <cfRule type="containsText" dxfId="255" priority="5" operator="containsText" text="Remote">
      <formula>NOT(ISERROR(SEARCH("Remote",N10)))</formula>
    </cfRule>
    <cfRule type="containsText" dxfId="254" priority="6" operator="containsText" text="Office">
      <formula>NOT(ISERROR(SEARCH("Office",N10)))</formula>
    </cfRule>
  </conditionalFormatting>
  <conditionalFormatting sqref="N23:N27">
    <cfRule type="containsText" dxfId="253" priority="22" operator="containsText" text="Office">
      <formula>NOT(ISERROR(SEARCH("Office",N23)))</formula>
    </cfRule>
    <cfRule type="containsText" dxfId="252" priority="21" operator="containsText" text="Remote">
      <formula>NOT(ISERROR(SEARCH("Remote",N23)))</formula>
    </cfRule>
  </conditionalFormatting>
  <conditionalFormatting sqref="Q10:Q14">
    <cfRule type="containsText" dxfId="251" priority="4" operator="containsText" text="Office">
      <formula>NOT(ISERROR(SEARCH("Office",Q10)))</formula>
    </cfRule>
    <cfRule type="containsText" dxfId="250" priority="3" operator="containsText" text="Remote">
      <formula>NOT(ISERROR(SEARCH("Remote",Q10)))</formula>
    </cfRule>
  </conditionalFormatting>
  <conditionalFormatting sqref="Q23:Q27">
    <cfRule type="containsText" dxfId="249" priority="19" operator="containsText" text="Remote">
      <formula>NOT(ISERROR(SEARCH("Remote",Q23)))</formula>
    </cfRule>
    <cfRule type="containsText" dxfId="248" priority="20" operator="containsText" text="Office">
      <formula>NOT(ISERROR(SEARCH("Office",Q23)))</formula>
    </cfRule>
  </conditionalFormatting>
  <conditionalFormatting sqref="T10:T14">
    <cfRule type="containsText" dxfId="247" priority="1" operator="containsText" text="Remote">
      <formula>NOT(ISERROR(SEARCH("Remote",T10)))</formula>
    </cfRule>
    <cfRule type="containsText" dxfId="246" priority="2" operator="containsText" text="Office">
      <formula>NOT(ISERROR(SEARCH("Office",T10)))</formula>
    </cfRule>
  </conditionalFormatting>
  <conditionalFormatting sqref="T23:T27">
    <cfRule type="containsText" dxfId="245" priority="18" operator="containsText" text="Office">
      <formula>NOT(ISERROR(SEARCH("Office",T23)))</formula>
    </cfRule>
    <cfRule type="containsText" dxfId="244" priority="17" operator="containsText" text="Remote">
      <formula>NOT(ISERROR(SEARCH("Remote",T23)))</formula>
    </cfRule>
  </conditionalFormatting>
  <conditionalFormatting sqref="W10:W14">
    <cfRule type="containsText" dxfId="243" priority="8" operator="containsText" text="Office">
      <formula>NOT(ISERROR(SEARCH("Office",W10)))</formula>
    </cfRule>
    <cfRule type="containsText" dxfId="242" priority="7" operator="containsText" text="Remote">
      <formula>NOT(ISERROR(SEARCH("Remote",W10)))</formula>
    </cfRule>
  </conditionalFormatting>
  <conditionalFormatting sqref="W23:W27">
    <cfRule type="containsText" dxfId="241" priority="45" operator="containsText" text="Remote">
      <formula>NOT(ISERROR(SEARCH("Remote",W23)))</formula>
    </cfRule>
    <cfRule type="containsText" dxfId="240" priority="46" operator="containsText" text="Office">
      <formula>NOT(ISERROR(SEARCH("Office",W23)))</formula>
    </cfRule>
  </conditionalFormatting>
  <conditionalFormatting sqref="W38:W42">
    <cfRule type="containsText" dxfId="239" priority="23" operator="containsText" text="Remote">
      <formula>NOT(ISERROR(SEARCH("Remote",W38)))</formula>
    </cfRule>
    <cfRule type="containsText" dxfId="238" priority="24" operator="containsText" text="Office">
      <formula>NOT(ISERROR(SEARCH("Office",W38)))</formula>
    </cfRule>
  </conditionalFormatting>
  <dataValidations count="2">
    <dataValidation type="list" allowBlank="1" showInputMessage="1" showErrorMessage="1" sqref="Q23:Q27 Q38:Q42 E23:E27 W38:Y42 H23:H27 K23:K27 T38:T42 W23:Y27 K38:K42 E38:E42 T23:T27 H38:H42 N23:N27 N38:N42" xr:uid="{1382EC1C-95E9-45C0-8DC4-5A0020822981}">
      <formula1>"Remote, Office"</formula1>
    </dataValidation>
    <dataValidation type="list" allowBlank="1" showInputMessage="1" showErrorMessage="1" sqref="E10:E14 H10:H14 K10:K14 N10:N14 Q10:Q14 T10:T14 W10:X14" xr:uid="{151AC5D8-4A82-4FF3-BBA5-B4C17E7F2168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C7495453-8E17-4F41-81CC-20E483FE1E8A}">
          <x14:formula1>
            <xm:f>FormTools!$A$1:$A$48</xm:f>
          </x14:formula1>
          <xm:sqref>U23:V27 C23:D27 F23:G27 I23:J27 L23:M27 O23:P27 R38:S42 L38:M42 C38:D42 F38:G42 O38:P42 R23:S27 U38:V42 I38:J42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65F4-D8CD-4156-B9EC-772B5091E450}">
  <sheetPr codeName="Sheet26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271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272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273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274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275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276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236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320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277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278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137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0.35416666666666669</v>
      </c>
      <c r="J23" s="15">
        <v>0.72916666666666663</v>
      </c>
      <c r="K23" s="17" t="s">
        <v>11</v>
      </c>
      <c r="L23" s="15">
        <v>0.35416666666666669</v>
      </c>
      <c r="M23" s="15">
        <v>0.72916666666666663</v>
      </c>
      <c r="N23" s="17" t="s">
        <v>11</v>
      </c>
      <c r="O23" s="15">
        <v>0.35416666666666669</v>
      </c>
      <c r="P23" s="15">
        <v>0.72916666666666663</v>
      </c>
      <c r="Q23" s="17" t="s">
        <v>11</v>
      </c>
      <c r="R23" s="15">
        <v>0.35416666666666669</v>
      </c>
      <c r="S23" s="15">
        <v>0.72916666666666663</v>
      </c>
      <c r="T23" s="17" t="s">
        <v>11</v>
      </c>
      <c r="U23" s="15">
        <v>0.375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8.9999999999999982</v>
      </c>
      <c r="J29" s="63"/>
      <c r="K29" s="64"/>
      <c r="L29" s="62" cm="1">
        <f t="array" ref="L29">SUM((M23:M27-L23:L27)*24)</f>
        <v>8.9999999999999982</v>
      </c>
      <c r="M29" s="63"/>
      <c r="N29" s="64"/>
      <c r="O29" s="62" cm="1">
        <f t="array" ref="O29">SUM((P23:P27-O23:O27)*24)</f>
        <v>8.9999999999999982</v>
      </c>
      <c r="P29" s="63"/>
      <c r="Q29" s="64"/>
      <c r="R29" s="62" cm="1">
        <f t="array" ref="R29">SUM((S23:S27-R23:R27)*24)</f>
        <v>8.9999999999999982</v>
      </c>
      <c r="S29" s="63"/>
      <c r="T29" s="64"/>
      <c r="U29" s="62" cm="1">
        <f t="array" ref="U29">SUM((V23:V27-U23:U27)*24)</f>
        <v>3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38.999999999999993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0.35416666666666669</v>
      </c>
      <c r="J38" s="15">
        <v>0.72916666666666663</v>
      </c>
      <c r="K38" s="17" t="s">
        <v>11</v>
      </c>
      <c r="L38" s="15">
        <v>0.35416666666666669</v>
      </c>
      <c r="M38" s="15">
        <v>0.72916666666666663</v>
      </c>
      <c r="N38" s="17" t="s">
        <v>11</v>
      </c>
      <c r="O38" s="15">
        <v>0.35416666666666669</v>
      </c>
      <c r="P38" s="15">
        <v>0.72916666666666663</v>
      </c>
      <c r="Q38" s="17" t="s">
        <v>11</v>
      </c>
      <c r="R38" s="15">
        <v>0.35416666666666669</v>
      </c>
      <c r="S38" s="15">
        <v>0.72916666666666663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8.9999999999999982</v>
      </c>
      <c r="J44" s="63"/>
      <c r="K44" s="64"/>
      <c r="L44" s="62" cm="1">
        <f t="array" ref="L44">SUM((M38:M42-L38:L42)*24)</f>
        <v>8.9999999999999982</v>
      </c>
      <c r="M44" s="63"/>
      <c r="N44" s="64"/>
      <c r="O44" s="62" cm="1">
        <f t="array" ref="O44">SUM((P38:P42-O38:O42)*24)</f>
        <v>8.9999999999999982</v>
      </c>
      <c r="P44" s="63"/>
      <c r="Q44" s="64"/>
      <c r="R44" s="62" cm="1">
        <f t="array" ref="R44">SUM((S38:S42-R38:R42)*24)</f>
        <v>8.9999999999999982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35.999999999999993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237" priority="66">
      <formula>C50=TRUE</formula>
    </cfRule>
    <cfRule type="expression" dxfId="236" priority="65">
      <formula>C50=FALSE</formula>
    </cfRule>
  </conditionalFormatting>
  <conditionalFormatting sqref="C30:W30">
    <cfRule type="expression" dxfId="235" priority="70">
      <formula>C30=TRUE</formula>
    </cfRule>
    <cfRule type="expression" dxfId="234" priority="69">
      <formula>C30=FALSE</formula>
    </cfRule>
  </conditionalFormatting>
  <conditionalFormatting sqref="C45:W45">
    <cfRule type="expression" dxfId="233" priority="67">
      <formula>C45=FALSE</formula>
    </cfRule>
    <cfRule type="expression" dxfId="232" priority="68">
      <formula>C45=TRUE</formula>
    </cfRule>
  </conditionalFormatting>
  <conditionalFormatting sqref="E10:E14">
    <cfRule type="containsText" dxfId="231" priority="13" operator="containsText" text="Remote">
      <formula>NOT(ISERROR(SEARCH("Remote",E10)))</formula>
    </cfRule>
    <cfRule type="containsText" dxfId="230" priority="14" operator="containsText" text="Office">
      <formula>NOT(ISERROR(SEARCH("Office",E10)))</formula>
    </cfRule>
  </conditionalFormatting>
  <conditionalFormatting sqref="E23:E27">
    <cfRule type="containsText" dxfId="229" priority="64" operator="containsText" text="Office">
      <formula>NOT(ISERROR(SEARCH("Office",E23)))</formula>
    </cfRule>
    <cfRule type="containsText" dxfId="228" priority="63" operator="containsText" text="Remote">
      <formula>NOT(ISERROR(SEARCH("Remote",E23)))</formula>
    </cfRule>
  </conditionalFormatting>
  <conditionalFormatting sqref="E38:E42">
    <cfRule type="containsText" dxfId="227" priority="49" operator="containsText" text="Remote">
      <formula>NOT(ISERROR(SEARCH("Remote",E38)))</formula>
    </cfRule>
    <cfRule type="containsText" dxfId="226" priority="50" operator="containsText" text="Office">
      <formula>NOT(ISERROR(SEARCH("Office",E38)))</formula>
    </cfRule>
  </conditionalFormatting>
  <conditionalFormatting sqref="H10:H14">
    <cfRule type="containsText" dxfId="225" priority="11" operator="containsText" text="Remote">
      <formula>NOT(ISERROR(SEARCH("Remote",H10)))</formula>
    </cfRule>
    <cfRule type="containsText" dxfId="224" priority="12" operator="containsText" text="Office">
      <formula>NOT(ISERROR(SEARCH("Office",H10)))</formula>
    </cfRule>
  </conditionalFormatting>
  <conditionalFormatting sqref="H23:H27">
    <cfRule type="containsText" dxfId="223" priority="62" operator="containsText" text="Office">
      <formula>NOT(ISERROR(SEARCH("Office",H23)))</formula>
    </cfRule>
    <cfRule type="containsText" dxfId="222" priority="61" operator="containsText" text="Remote">
      <formula>NOT(ISERROR(SEARCH("Remote",H23)))</formula>
    </cfRule>
  </conditionalFormatting>
  <conditionalFormatting sqref="H38:H42">
    <cfRule type="containsText" dxfId="221" priority="47" operator="containsText" text="Remote">
      <formula>NOT(ISERROR(SEARCH("Remote",H38)))</formula>
    </cfRule>
    <cfRule type="containsText" dxfId="220" priority="48" operator="containsText" text="Office">
      <formula>NOT(ISERROR(SEARCH("Office",H38)))</formula>
    </cfRule>
  </conditionalFormatting>
  <conditionalFormatting sqref="I31:T31">
    <cfRule type="expression" dxfId="219" priority="73">
      <formula>I31=FALSE</formula>
    </cfRule>
    <cfRule type="expression" dxfId="218" priority="74">
      <formula>I31=TRUE</formula>
    </cfRule>
  </conditionalFormatting>
  <conditionalFormatting sqref="I46:T46">
    <cfRule type="expression" dxfId="217" priority="72">
      <formula>I46=TRUE</formula>
    </cfRule>
    <cfRule type="expression" dxfId="216" priority="71">
      <formula>I46=FALSE</formula>
    </cfRule>
  </conditionalFormatting>
  <conditionalFormatting sqref="K10:K14">
    <cfRule type="containsText" dxfId="215" priority="9" operator="containsText" text="Remote">
      <formula>NOT(ISERROR(SEARCH("Remote",K10)))</formula>
    </cfRule>
    <cfRule type="containsText" dxfId="214" priority="10" operator="containsText" text="Office">
      <formula>NOT(ISERROR(SEARCH("Office",K10)))</formula>
    </cfRule>
  </conditionalFormatting>
  <conditionalFormatting sqref="K23:K27">
    <cfRule type="containsText" dxfId="213" priority="60" operator="containsText" text="Office">
      <formula>NOT(ISERROR(SEARCH("Office",K23)))</formula>
    </cfRule>
    <cfRule type="containsText" dxfId="212" priority="59" operator="containsText" text="Remote">
      <formula>NOT(ISERROR(SEARCH("Remote",K23)))</formula>
    </cfRule>
  </conditionalFormatting>
  <conditionalFormatting sqref="K38:K42">
    <cfRule type="containsText" dxfId="211" priority="21" operator="containsText" text="Remote">
      <formula>NOT(ISERROR(SEARCH("Remote",K38)))</formula>
    </cfRule>
    <cfRule type="containsText" dxfId="210" priority="22" operator="containsText" text="Office">
      <formula>NOT(ISERROR(SEARCH("Office",K38)))</formula>
    </cfRule>
  </conditionalFormatting>
  <conditionalFormatting sqref="N10:N14">
    <cfRule type="containsText" dxfId="209" priority="6" operator="containsText" text="Office">
      <formula>NOT(ISERROR(SEARCH("Office",N10)))</formula>
    </cfRule>
    <cfRule type="containsText" dxfId="208" priority="5" operator="containsText" text="Remote">
      <formula>NOT(ISERROR(SEARCH("Remote",N10)))</formula>
    </cfRule>
  </conditionalFormatting>
  <conditionalFormatting sqref="N23:N27">
    <cfRule type="containsText" dxfId="207" priority="27" operator="containsText" text="Remote">
      <formula>NOT(ISERROR(SEARCH("Remote",N23)))</formula>
    </cfRule>
    <cfRule type="containsText" dxfId="206" priority="28" operator="containsText" text="Office">
      <formula>NOT(ISERROR(SEARCH("Office",N23)))</formula>
    </cfRule>
  </conditionalFormatting>
  <conditionalFormatting sqref="N38:N42">
    <cfRule type="containsText" dxfId="205" priority="20" operator="containsText" text="Office">
      <formula>NOT(ISERROR(SEARCH("Office",N38)))</formula>
    </cfRule>
    <cfRule type="containsText" dxfId="204" priority="19" operator="containsText" text="Remote">
      <formula>NOT(ISERROR(SEARCH("Remote",N38)))</formula>
    </cfRule>
  </conditionalFormatting>
  <conditionalFormatting sqref="Q10:Q14">
    <cfRule type="containsText" dxfId="203" priority="4" operator="containsText" text="Office">
      <formula>NOT(ISERROR(SEARCH("Office",Q10)))</formula>
    </cfRule>
    <cfRule type="containsText" dxfId="202" priority="3" operator="containsText" text="Remote">
      <formula>NOT(ISERROR(SEARCH("Remote",Q10)))</formula>
    </cfRule>
  </conditionalFormatting>
  <conditionalFormatting sqref="Q23:Q27">
    <cfRule type="containsText" dxfId="201" priority="26" operator="containsText" text="Office">
      <formula>NOT(ISERROR(SEARCH("Office",Q23)))</formula>
    </cfRule>
    <cfRule type="containsText" dxfId="200" priority="25" operator="containsText" text="Remote">
      <formula>NOT(ISERROR(SEARCH("Remote",Q23)))</formula>
    </cfRule>
  </conditionalFormatting>
  <conditionalFormatting sqref="Q38:Q42">
    <cfRule type="containsText" dxfId="199" priority="18" operator="containsText" text="Office">
      <formula>NOT(ISERROR(SEARCH("Office",Q38)))</formula>
    </cfRule>
    <cfRule type="containsText" dxfId="198" priority="17" operator="containsText" text="Remote">
      <formula>NOT(ISERROR(SEARCH("Remote",Q38)))</formula>
    </cfRule>
  </conditionalFormatting>
  <conditionalFormatting sqref="T10:T14">
    <cfRule type="containsText" dxfId="197" priority="1" operator="containsText" text="Remote">
      <formula>NOT(ISERROR(SEARCH("Remote",T10)))</formula>
    </cfRule>
    <cfRule type="containsText" dxfId="196" priority="2" operator="containsText" text="Office">
      <formula>NOT(ISERROR(SEARCH("Office",T10)))</formula>
    </cfRule>
  </conditionalFormatting>
  <conditionalFormatting sqref="T23:T27">
    <cfRule type="containsText" dxfId="195" priority="24" operator="containsText" text="Office">
      <formula>NOT(ISERROR(SEARCH("Office",T23)))</formula>
    </cfRule>
    <cfRule type="containsText" dxfId="194" priority="23" operator="containsText" text="Remote">
      <formula>NOT(ISERROR(SEARCH("Remote",T23)))</formula>
    </cfRule>
  </conditionalFormatting>
  <conditionalFormatting sqref="T38:T42">
    <cfRule type="containsText" dxfId="193" priority="16" operator="containsText" text="Office">
      <formula>NOT(ISERROR(SEARCH("Office",T38)))</formula>
    </cfRule>
    <cfRule type="containsText" dxfId="192" priority="15" operator="containsText" text="Remote">
      <formula>NOT(ISERROR(SEARCH("Remote",T38)))</formula>
    </cfRule>
  </conditionalFormatting>
  <conditionalFormatting sqref="W10:W14">
    <cfRule type="containsText" dxfId="191" priority="7" operator="containsText" text="Remote">
      <formula>NOT(ISERROR(SEARCH("Remote",W10)))</formula>
    </cfRule>
    <cfRule type="containsText" dxfId="190" priority="8" operator="containsText" text="Office">
      <formula>NOT(ISERROR(SEARCH("Office",W10)))</formula>
    </cfRule>
  </conditionalFormatting>
  <conditionalFormatting sqref="W23:W27">
    <cfRule type="containsText" dxfId="189" priority="51" operator="containsText" text="Remote">
      <formula>NOT(ISERROR(SEARCH("Remote",W23)))</formula>
    </cfRule>
    <cfRule type="containsText" dxfId="188" priority="52" operator="containsText" text="Office">
      <formula>NOT(ISERROR(SEARCH("Office",W23)))</formula>
    </cfRule>
  </conditionalFormatting>
  <conditionalFormatting sqref="W38:W42">
    <cfRule type="containsText" dxfId="187" priority="29" operator="containsText" text="Remote">
      <formula>NOT(ISERROR(SEARCH("Remote",W38)))</formula>
    </cfRule>
    <cfRule type="containsText" dxfId="186" priority="30" operator="containsText" text="Office">
      <formula>NOT(ISERROR(SEARCH("Office",W38)))</formula>
    </cfRule>
  </conditionalFormatting>
  <dataValidations count="2">
    <dataValidation type="list" allowBlank="1" showInputMessage="1" showErrorMessage="1" sqref="Q23:Q27 K38:K42 E23:E27 W38:Y42 H23:H27 K23:K27 N38:N42 W23:Y27 Q38:Q42 E38:E42 T23:T27 H38:H42 N23:N27 T38:T42" xr:uid="{83233F40-70B5-44CE-897B-1696A58EC775}">
      <formula1>"Remote, Office"</formula1>
    </dataValidation>
    <dataValidation type="list" allowBlank="1" showInputMessage="1" showErrorMessage="1" sqref="E10:E14 H10:H14 K10:K14 N10:N14 Q10:Q14 T10:T14 W10:X14" xr:uid="{92CC631F-911E-454D-9663-FB61577A4C66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A30DCAB4-3FFB-4ADC-9BAA-59A3B28A6514}">
          <x14:formula1>
            <xm:f>FormTools!$A$1:$A$48</xm:f>
          </x14:formula1>
          <xm:sqref>U23:V27 C23:D27 F23:G27 I23:J27 L23:M27 O23:P27 R23:S27 O38:P42 C38:D42 F38:G42 I38:J42 L38:M42 U38:V42 R38:S42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CCA5-0A95-4AFA-95F2-22B4E6F739B5}">
  <sheetPr codeName="Sheet27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279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280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281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282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167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283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241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319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284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285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46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176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0.29166666666666669</v>
      </c>
      <c r="J23" s="15">
        <v>0.66666666666666663</v>
      </c>
      <c r="K23" s="17" t="s">
        <v>11</v>
      </c>
      <c r="L23" s="15">
        <v>0.29166666666666669</v>
      </c>
      <c r="M23" s="15">
        <v>0.66666666666666663</v>
      </c>
      <c r="N23" s="17" t="s">
        <v>11</v>
      </c>
      <c r="O23" s="15">
        <v>0.29166666666666669</v>
      </c>
      <c r="P23" s="15">
        <v>0.64583333333333337</v>
      </c>
      <c r="Q23" s="17" t="s">
        <v>11</v>
      </c>
      <c r="R23" s="15">
        <v>0.29166666666666669</v>
      </c>
      <c r="S23" s="15">
        <v>0.64583333333333337</v>
      </c>
      <c r="T23" s="17" t="s">
        <v>11</v>
      </c>
      <c r="U23" s="15">
        <v>0.33333333333333331</v>
      </c>
      <c r="V23" s="15">
        <v>0.54166666666666663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/>
      <c r="J24" s="15"/>
      <c r="K24" s="17"/>
      <c r="L24" s="15"/>
      <c r="M24" s="15"/>
      <c r="N24" s="17"/>
      <c r="O24" s="15"/>
      <c r="P24" s="15"/>
      <c r="Q24" s="17"/>
      <c r="R24" s="15"/>
      <c r="S24" s="15"/>
      <c r="T24" s="17"/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8.9999999999999982</v>
      </c>
      <c r="J29" s="63"/>
      <c r="K29" s="64"/>
      <c r="L29" s="62" cm="1">
        <f t="array" ref="L29">SUM((M23:M27-L23:L27)*24)</f>
        <v>8.9999999999999982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5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0.29166666666666669</v>
      </c>
      <c r="J38" s="15">
        <v>0.66666666666666663</v>
      </c>
      <c r="K38" s="17" t="s">
        <v>11</v>
      </c>
      <c r="L38" s="15">
        <v>0.29166666666666669</v>
      </c>
      <c r="M38" s="15">
        <v>0.66666666666666663</v>
      </c>
      <c r="N38" s="17" t="s">
        <v>11</v>
      </c>
      <c r="O38" s="15">
        <v>0.29166666666666669</v>
      </c>
      <c r="P38" s="15">
        <v>0.64583333333333337</v>
      </c>
      <c r="Q38" s="17" t="s">
        <v>11</v>
      </c>
      <c r="R38" s="15">
        <v>0.29166666666666669</v>
      </c>
      <c r="S38" s="15">
        <v>0.64583333333333337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/>
      <c r="J39" s="15"/>
      <c r="K39" s="17"/>
      <c r="L39" s="15"/>
      <c r="M39" s="15"/>
      <c r="N39" s="17"/>
      <c r="O39" s="15"/>
      <c r="P39" s="15"/>
      <c r="Q39" s="17"/>
      <c r="R39" s="15"/>
      <c r="S39" s="15"/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8.9999999999999982</v>
      </c>
      <c r="J44" s="63"/>
      <c r="K44" s="64"/>
      <c r="L44" s="62" cm="1">
        <f t="array" ref="L44">SUM((M38:M42-L38:L42)*24)</f>
        <v>8.9999999999999982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35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85" priority="54">
      <formula>C50=TRUE</formula>
    </cfRule>
    <cfRule type="expression" dxfId="184" priority="53">
      <formula>C50=FALSE</formula>
    </cfRule>
  </conditionalFormatting>
  <conditionalFormatting sqref="C30:W30">
    <cfRule type="expression" dxfId="183" priority="58">
      <formula>C30=TRUE</formula>
    </cfRule>
    <cfRule type="expression" dxfId="182" priority="57">
      <formula>C30=FALSE</formula>
    </cfRule>
  </conditionalFormatting>
  <conditionalFormatting sqref="C45:W45">
    <cfRule type="expression" dxfId="181" priority="56">
      <formula>C45=TRUE</formula>
    </cfRule>
    <cfRule type="expression" dxfId="180" priority="55">
      <formula>C45=FALSE</formula>
    </cfRule>
  </conditionalFormatting>
  <conditionalFormatting sqref="E10:E14">
    <cfRule type="containsText" dxfId="179" priority="9" operator="containsText" text="Remote">
      <formula>NOT(ISERROR(SEARCH("Remote",E10)))</formula>
    </cfRule>
    <cfRule type="containsText" dxfId="178" priority="10" operator="containsText" text="Office">
      <formula>NOT(ISERROR(SEARCH("Office",E10)))</formula>
    </cfRule>
  </conditionalFormatting>
  <conditionalFormatting sqref="E23:E27">
    <cfRule type="containsText" dxfId="177" priority="52" operator="containsText" text="Office">
      <formula>NOT(ISERROR(SEARCH("Office",E23)))</formula>
    </cfRule>
    <cfRule type="containsText" dxfId="176" priority="51" operator="containsText" text="Remote">
      <formula>NOT(ISERROR(SEARCH("Remote",E23)))</formula>
    </cfRule>
  </conditionalFormatting>
  <conditionalFormatting sqref="E38:E42">
    <cfRule type="containsText" dxfId="175" priority="37" operator="containsText" text="Remote">
      <formula>NOT(ISERROR(SEARCH("Remote",E38)))</formula>
    </cfRule>
    <cfRule type="containsText" dxfId="174" priority="38" operator="containsText" text="Office">
      <formula>NOT(ISERROR(SEARCH("Office",E38)))</formula>
    </cfRule>
  </conditionalFormatting>
  <conditionalFormatting sqref="H10:H14">
    <cfRule type="containsText" dxfId="173" priority="7" operator="containsText" text="Remote">
      <formula>NOT(ISERROR(SEARCH("Remote",H10)))</formula>
    </cfRule>
    <cfRule type="containsText" dxfId="172" priority="8" operator="containsText" text="Office">
      <formula>NOT(ISERROR(SEARCH("Office",H10)))</formula>
    </cfRule>
  </conditionalFormatting>
  <conditionalFormatting sqref="H23:H27">
    <cfRule type="containsText" dxfId="171" priority="50" operator="containsText" text="Office">
      <formula>NOT(ISERROR(SEARCH("Office",H23)))</formula>
    </cfRule>
    <cfRule type="containsText" dxfId="170" priority="49" operator="containsText" text="Remote">
      <formula>NOT(ISERROR(SEARCH("Remote",H23)))</formula>
    </cfRule>
  </conditionalFormatting>
  <conditionalFormatting sqref="H38:H42">
    <cfRule type="containsText" dxfId="169" priority="35" operator="containsText" text="Remote">
      <formula>NOT(ISERROR(SEARCH("Remote",H38)))</formula>
    </cfRule>
    <cfRule type="containsText" dxfId="168" priority="36" operator="containsText" text="Office">
      <formula>NOT(ISERROR(SEARCH("Office",H38)))</formula>
    </cfRule>
  </conditionalFormatting>
  <conditionalFormatting sqref="I31:T31">
    <cfRule type="expression" dxfId="167" priority="62">
      <formula>I31=TRUE</formula>
    </cfRule>
    <cfRule type="expression" dxfId="166" priority="61">
      <formula>I31=FALSE</formula>
    </cfRule>
  </conditionalFormatting>
  <conditionalFormatting sqref="I46:T46">
    <cfRule type="expression" dxfId="165" priority="59">
      <formula>I46=FALSE</formula>
    </cfRule>
    <cfRule type="expression" dxfId="164" priority="60">
      <formula>I46=TRUE</formula>
    </cfRule>
  </conditionalFormatting>
  <conditionalFormatting sqref="K10:K14">
    <cfRule type="containsText" dxfId="163" priority="6" operator="containsText" text="Office">
      <formula>NOT(ISERROR(SEARCH("Office",K10)))</formula>
    </cfRule>
    <cfRule type="containsText" dxfId="162" priority="5" operator="containsText" text="Remote">
      <formula>NOT(ISERROR(SEARCH("Remote",K10)))</formula>
    </cfRule>
  </conditionalFormatting>
  <conditionalFormatting sqref="K23:K27">
    <cfRule type="containsText" dxfId="161" priority="47" operator="containsText" text="Remote">
      <formula>NOT(ISERROR(SEARCH("Remote",K23)))</formula>
    </cfRule>
    <cfRule type="containsText" dxfId="160" priority="48" operator="containsText" text="Office">
      <formula>NOT(ISERROR(SEARCH("Office",K23)))</formula>
    </cfRule>
  </conditionalFormatting>
  <conditionalFormatting sqref="K38:K42">
    <cfRule type="containsText" dxfId="159" priority="14" operator="containsText" text="Office">
      <formula>NOT(ISERROR(SEARCH("Office",K38)))</formula>
    </cfRule>
    <cfRule type="containsText" dxfId="158" priority="13" operator="containsText" text="Remote">
      <formula>NOT(ISERROR(SEARCH("Remote",K38)))</formula>
    </cfRule>
  </conditionalFormatting>
  <conditionalFormatting sqref="N10:N14 Q10:Q14 T10:T14">
    <cfRule type="containsText" dxfId="157" priority="2" operator="containsText" text="Office">
      <formula>NOT(ISERROR(SEARCH("Office",N10)))</formula>
    </cfRule>
    <cfRule type="containsText" dxfId="156" priority="1" operator="containsText" text="Remote">
      <formula>NOT(ISERROR(SEARCH("Remote",N10)))</formula>
    </cfRule>
  </conditionalFormatting>
  <conditionalFormatting sqref="N23:N27 Q23:Q27 T23:T27">
    <cfRule type="containsText" dxfId="155" priority="16" operator="containsText" text="Office">
      <formula>NOT(ISERROR(SEARCH("Office",N23)))</formula>
    </cfRule>
    <cfRule type="containsText" dxfId="154" priority="15" operator="containsText" text="Remote">
      <formula>NOT(ISERROR(SEARCH("Remote",N23)))</formula>
    </cfRule>
  </conditionalFormatting>
  <conditionalFormatting sqref="N38:N42 Q38:Q42 T38:T42">
    <cfRule type="containsText" dxfId="153" priority="12" operator="containsText" text="Office">
      <formula>NOT(ISERROR(SEARCH("Office",N38)))</formula>
    </cfRule>
    <cfRule type="containsText" dxfId="152" priority="11" operator="containsText" text="Remote">
      <formula>NOT(ISERROR(SEARCH("Remote",N38)))</formula>
    </cfRule>
  </conditionalFormatting>
  <conditionalFormatting sqref="W10:W14">
    <cfRule type="containsText" dxfId="151" priority="3" operator="containsText" text="Remote">
      <formula>NOT(ISERROR(SEARCH("Remote",W10)))</formula>
    </cfRule>
    <cfRule type="containsText" dxfId="150" priority="4" operator="containsText" text="Office">
      <formula>NOT(ISERROR(SEARCH("Office",W10)))</formula>
    </cfRule>
  </conditionalFormatting>
  <conditionalFormatting sqref="W23:W27">
    <cfRule type="containsText" dxfId="149" priority="39" operator="containsText" text="Remote">
      <formula>NOT(ISERROR(SEARCH("Remote",W23)))</formula>
    </cfRule>
    <cfRule type="containsText" dxfId="148" priority="40" operator="containsText" text="Office">
      <formula>NOT(ISERROR(SEARCH("Office",W23)))</formula>
    </cfRule>
  </conditionalFormatting>
  <conditionalFormatting sqref="W38:W42">
    <cfRule type="containsText" dxfId="147" priority="17" operator="containsText" text="Remote">
      <formula>NOT(ISERROR(SEARCH("Remote",W38)))</formula>
    </cfRule>
    <cfRule type="containsText" dxfId="146" priority="18" operator="containsText" text="Office">
      <formula>NOT(ISERROR(SEARCH("Office",W38)))</formula>
    </cfRule>
  </conditionalFormatting>
  <dataValidations count="2">
    <dataValidation type="list" allowBlank="1" showInputMessage="1" showErrorMessage="1" sqref="N23:N27 Q38:Q42 E23:E27 Q23:Q27 H23:H27 K23:K27 T38:T42 W23:Y27 K38:K42 E38:E42 T23:T27 H38:H42 W38:Y42 N38:N42" xr:uid="{72554A9C-CD97-4363-84BD-A84284C5AFF3}">
      <formula1>"Remote, Office"</formula1>
    </dataValidation>
    <dataValidation type="list" allowBlank="1" showInputMessage="1" showErrorMessage="1" sqref="E10:E14 H10:H14 K10:K14 N10:N14 Q10:Q14 T10:T14 W10:X14" xr:uid="{02B40519-3734-49C9-8C51-C9E50FBD83E9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7B948606-828A-4D9A-A7CF-89BE960B7A12}">
          <x14:formula1>
            <xm:f>FormTools!$A$1:$A$48</xm:f>
          </x14:formula1>
          <xm:sqref>U23:V27 C23:D27 F23:G27 I23:J27 R23:S27 L23:M27 R38:S42 L38:M42 C38:D42 F38:G42 O38:P42 O23:P27 U38:V42 I38:J42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1E97-5079-4CF7-A150-5ED5EEDC042E}">
  <sheetPr codeName="Sheet28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286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287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288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289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290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291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239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318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292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293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154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0.3125</v>
      </c>
      <c r="J23" s="15">
        <v>0.52083333333333337</v>
      </c>
      <c r="K23" s="17" t="s">
        <v>11</v>
      </c>
      <c r="L23" s="15">
        <v>0.3125</v>
      </c>
      <c r="M23" s="15">
        <v>0.52083333333333337</v>
      </c>
      <c r="N23" s="17" t="s">
        <v>11</v>
      </c>
      <c r="O23" s="15">
        <v>0.33333333333333331</v>
      </c>
      <c r="P23" s="15">
        <v>0.52083333333333337</v>
      </c>
      <c r="Q23" s="17" t="s">
        <v>23</v>
      </c>
      <c r="R23" s="15">
        <v>0.33333333333333331</v>
      </c>
      <c r="S23" s="15">
        <v>0.52083333333333337</v>
      </c>
      <c r="T23" s="17" t="s">
        <v>23</v>
      </c>
      <c r="U23" s="15"/>
      <c r="V23" s="15"/>
      <c r="W23" s="17"/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0.54166666666666663</v>
      </c>
      <c r="J24" s="15">
        <v>0.70833333333333337</v>
      </c>
      <c r="K24" s="17" t="s">
        <v>11</v>
      </c>
      <c r="L24" s="15">
        <v>0.54166666666666663</v>
      </c>
      <c r="M24" s="15">
        <v>0.70833333333333337</v>
      </c>
      <c r="N24" s="17" t="s">
        <v>11</v>
      </c>
      <c r="O24" s="15">
        <v>0.54166666666666663</v>
      </c>
      <c r="P24" s="15">
        <v>0.70833333333333337</v>
      </c>
      <c r="Q24" s="17" t="s">
        <v>23</v>
      </c>
      <c r="R24" s="15">
        <v>0.54166666666666663</v>
      </c>
      <c r="S24" s="15">
        <v>0.70833333333333337</v>
      </c>
      <c r="T24" s="17" t="s">
        <v>23</v>
      </c>
      <c r="U24" s="15"/>
      <c r="V24" s="15"/>
      <c r="W24" s="17"/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9.0000000000000036</v>
      </c>
      <c r="J29" s="63"/>
      <c r="K29" s="64"/>
      <c r="L29" s="62" cm="1">
        <f t="array" ref="L29">SUM((M23:M27-L23:L27)*24)</f>
        <v>9.0000000000000036</v>
      </c>
      <c r="M29" s="63"/>
      <c r="N29" s="64"/>
      <c r="O29" s="62" cm="1">
        <f t="array" ref="O29">SUM((P23:P27-O23:O27)*24)</f>
        <v>8.5000000000000036</v>
      </c>
      <c r="P29" s="63"/>
      <c r="Q29" s="64"/>
      <c r="R29" s="62" cm="1">
        <f t="array" ref="R29">SUM((S23:S27-R23:R27)*24)</f>
        <v>8.5000000000000036</v>
      </c>
      <c r="S29" s="63"/>
      <c r="T29" s="64"/>
      <c r="U29" s="62" cm="1">
        <f t="array" ref="U29">SUM((V23:V27-U23:U27)*24)</f>
        <v>0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35.000000000000014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0.52083333333333337</v>
      </c>
      <c r="K38" s="17" t="s">
        <v>11</v>
      </c>
      <c r="L38" s="15">
        <v>0.33333333333333331</v>
      </c>
      <c r="M38" s="15">
        <v>0.52083333333333337</v>
      </c>
      <c r="N38" s="17" t="s">
        <v>11</v>
      </c>
      <c r="O38" s="15">
        <v>0.33333333333333331</v>
      </c>
      <c r="P38" s="15">
        <v>0.52083333333333337</v>
      </c>
      <c r="Q38" s="17" t="s">
        <v>23</v>
      </c>
      <c r="R38" s="15">
        <v>0.33333333333333331</v>
      </c>
      <c r="S38" s="15">
        <v>0.52083333333333337</v>
      </c>
      <c r="T38" s="17" t="s">
        <v>23</v>
      </c>
      <c r="U38" s="15">
        <v>0.33333333333333331</v>
      </c>
      <c r="V38" s="15">
        <v>0.52083333333333337</v>
      </c>
      <c r="W38" s="17" t="s">
        <v>11</v>
      </c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0.54166666666666663</v>
      </c>
      <c r="J39" s="15">
        <v>0.70833333333333337</v>
      </c>
      <c r="K39" s="17" t="s">
        <v>11</v>
      </c>
      <c r="L39" s="15">
        <v>0.54166666666666663</v>
      </c>
      <c r="M39" s="15">
        <v>0.70833333333333337</v>
      </c>
      <c r="N39" s="17" t="s">
        <v>11</v>
      </c>
      <c r="O39" s="15">
        <v>0.54166666666666663</v>
      </c>
      <c r="P39" s="15">
        <v>0.70833333333333337</v>
      </c>
      <c r="Q39" s="17" t="s">
        <v>23</v>
      </c>
      <c r="R39" s="15">
        <v>0.54166666666666663</v>
      </c>
      <c r="S39" s="15">
        <v>0.70833333333333337</v>
      </c>
      <c r="T39" s="17" t="s">
        <v>23</v>
      </c>
      <c r="U39" s="15">
        <v>0.54166666666666663</v>
      </c>
      <c r="V39" s="15">
        <v>0.60416666666666663</v>
      </c>
      <c r="W39" s="17" t="s">
        <v>11</v>
      </c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8.5000000000000036</v>
      </c>
      <c r="J44" s="63"/>
      <c r="K44" s="64"/>
      <c r="L44" s="62" cm="1">
        <f t="array" ref="L44">SUM((M38:M42-L38:L42)*24)</f>
        <v>8.5000000000000036</v>
      </c>
      <c r="M44" s="63"/>
      <c r="N44" s="64"/>
      <c r="O44" s="62" cm="1">
        <f t="array" ref="O44">SUM((P38:P42-O38:O42)*24)</f>
        <v>8.5000000000000036</v>
      </c>
      <c r="P44" s="63"/>
      <c r="Q44" s="64"/>
      <c r="R44" s="62" cm="1">
        <f t="array" ref="R44">SUM((S38:S42-R38:R42)*24)</f>
        <v>8.5000000000000036</v>
      </c>
      <c r="S44" s="63"/>
      <c r="T44" s="64"/>
      <c r="U44" s="62" cm="1">
        <f t="array" ref="U44">SUM((V38:V42-U38:U42)*24)</f>
        <v>6.0000000000000018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40.000000000000014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145" priority="78">
      <formula>C50=TRUE</formula>
    </cfRule>
    <cfRule type="expression" dxfId="144" priority="77">
      <formula>C50=FALSE</formula>
    </cfRule>
  </conditionalFormatting>
  <conditionalFormatting sqref="C30:W30">
    <cfRule type="expression" dxfId="143" priority="82">
      <formula>C30=TRUE</formula>
    </cfRule>
    <cfRule type="expression" dxfId="142" priority="81">
      <formula>C30=FALSE</formula>
    </cfRule>
  </conditionalFormatting>
  <conditionalFormatting sqref="C45:W45">
    <cfRule type="expression" dxfId="141" priority="79">
      <formula>C45=FALSE</formula>
    </cfRule>
    <cfRule type="expression" dxfId="140" priority="80">
      <formula>C45=TRUE</formula>
    </cfRule>
  </conditionalFormatting>
  <conditionalFormatting sqref="E10:E14">
    <cfRule type="containsText" dxfId="139" priority="13" operator="containsText" text="Remote">
      <formula>NOT(ISERROR(SEARCH("Remote",E10)))</formula>
    </cfRule>
    <cfRule type="containsText" dxfId="138" priority="14" operator="containsText" text="Office">
      <formula>NOT(ISERROR(SEARCH("Office",E10)))</formula>
    </cfRule>
  </conditionalFormatting>
  <conditionalFormatting sqref="E23:E27">
    <cfRule type="containsText" dxfId="137" priority="76" operator="containsText" text="Office">
      <formula>NOT(ISERROR(SEARCH("Office",E23)))</formula>
    </cfRule>
    <cfRule type="containsText" dxfId="136" priority="75" operator="containsText" text="Remote">
      <formula>NOT(ISERROR(SEARCH("Remote",E23)))</formula>
    </cfRule>
  </conditionalFormatting>
  <conditionalFormatting sqref="E38:E42">
    <cfRule type="containsText" dxfId="135" priority="61" operator="containsText" text="Remote">
      <formula>NOT(ISERROR(SEARCH("Remote",E38)))</formula>
    </cfRule>
    <cfRule type="containsText" dxfId="134" priority="62" operator="containsText" text="Office">
      <formula>NOT(ISERROR(SEARCH("Office",E38)))</formula>
    </cfRule>
  </conditionalFormatting>
  <conditionalFormatting sqref="H10:H14">
    <cfRule type="containsText" dxfId="133" priority="11" operator="containsText" text="Remote">
      <formula>NOT(ISERROR(SEARCH("Remote",H10)))</formula>
    </cfRule>
    <cfRule type="containsText" dxfId="132" priority="12" operator="containsText" text="Office">
      <formula>NOT(ISERROR(SEARCH("Office",H10)))</formula>
    </cfRule>
  </conditionalFormatting>
  <conditionalFormatting sqref="H23:H27">
    <cfRule type="containsText" dxfId="131" priority="74" operator="containsText" text="Office">
      <formula>NOT(ISERROR(SEARCH("Office",H23)))</formula>
    </cfRule>
    <cfRule type="containsText" dxfId="130" priority="73" operator="containsText" text="Remote">
      <formula>NOT(ISERROR(SEARCH("Remote",H23)))</formula>
    </cfRule>
  </conditionalFormatting>
  <conditionalFormatting sqref="H38:H42">
    <cfRule type="containsText" dxfId="129" priority="59" operator="containsText" text="Remote">
      <formula>NOT(ISERROR(SEARCH("Remote",H38)))</formula>
    </cfRule>
    <cfRule type="containsText" dxfId="128" priority="60" operator="containsText" text="Office">
      <formula>NOT(ISERROR(SEARCH("Office",H38)))</formula>
    </cfRule>
  </conditionalFormatting>
  <conditionalFormatting sqref="I31:T31">
    <cfRule type="expression" dxfId="127" priority="85">
      <formula>I31=FALSE</formula>
    </cfRule>
    <cfRule type="expression" dxfId="126" priority="86">
      <formula>I31=TRUE</formula>
    </cfRule>
  </conditionalFormatting>
  <conditionalFormatting sqref="I46:T46">
    <cfRule type="expression" dxfId="125" priority="84">
      <formula>I46=TRUE</formula>
    </cfRule>
    <cfRule type="expression" dxfId="124" priority="83">
      <formula>I46=FALSE</formula>
    </cfRule>
  </conditionalFormatting>
  <conditionalFormatting sqref="K10:K14">
    <cfRule type="containsText" dxfId="123" priority="9" operator="containsText" text="Remote">
      <formula>NOT(ISERROR(SEARCH("Remote",K10)))</formula>
    </cfRule>
    <cfRule type="containsText" dxfId="122" priority="10" operator="containsText" text="Office">
      <formula>NOT(ISERROR(SEARCH("Office",K10)))</formula>
    </cfRule>
  </conditionalFormatting>
  <conditionalFormatting sqref="K23:K27">
    <cfRule type="containsText" dxfId="121" priority="72" operator="containsText" text="Office">
      <formula>NOT(ISERROR(SEARCH("Office",K23)))</formula>
    </cfRule>
    <cfRule type="containsText" dxfId="120" priority="71" operator="containsText" text="Remote">
      <formula>NOT(ISERROR(SEARCH("Remote",K23)))</formula>
    </cfRule>
  </conditionalFormatting>
  <conditionalFormatting sqref="K38:K42">
    <cfRule type="containsText" dxfId="119" priority="27" operator="containsText" text="Remote">
      <formula>NOT(ISERROR(SEARCH("Remote",K38)))</formula>
    </cfRule>
    <cfRule type="containsText" dxfId="118" priority="28" operator="containsText" text="Office">
      <formula>NOT(ISERROR(SEARCH("Office",K38)))</formula>
    </cfRule>
  </conditionalFormatting>
  <conditionalFormatting sqref="N10:N14">
    <cfRule type="containsText" dxfId="117" priority="6" operator="containsText" text="Office">
      <formula>NOT(ISERROR(SEARCH("Office",N10)))</formula>
    </cfRule>
    <cfRule type="containsText" dxfId="116" priority="5" operator="containsText" text="Remote">
      <formula>NOT(ISERROR(SEARCH("Remote",N10)))</formula>
    </cfRule>
  </conditionalFormatting>
  <conditionalFormatting sqref="N23:N27">
    <cfRule type="containsText" dxfId="115" priority="37" operator="containsText" text="Remote">
      <formula>NOT(ISERROR(SEARCH("Remote",N23)))</formula>
    </cfRule>
    <cfRule type="containsText" dxfId="114" priority="38" operator="containsText" text="Office">
      <formula>NOT(ISERROR(SEARCH("Office",N23)))</formula>
    </cfRule>
  </conditionalFormatting>
  <conditionalFormatting sqref="N38:N42">
    <cfRule type="containsText" dxfId="113" priority="24" operator="containsText" text="Office">
      <formula>NOT(ISERROR(SEARCH("Office",N38)))</formula>
    </cfRule>
    <cfRule type="containsText" dxfId="112" priority="23" operator="containsText" text="Remote">
      <formula>NOT(ISERROR(SEARCH("Remote",N38)))</formula>
    </cfRule>
  </conditionalFormatting>
  <conditionalFormatting sqref="Q10:Q14">
    <cfRule type="containsText" dxfId="111" priority="4" operator="containsText" text="Office">
      <formula>NOT(ISERROR(SEARCH("Office",Q10)))</formula>
    </cfRule>
    <cfRule type="containsText" dxfId="110" priority="3" operator="containsText" text="Remote">
      <formula>NOT(ISERROR(SEARCH("Remote",Q10)))</formula>
    </cfRule>
  </conditionalFormatting>
  <conditionalFormatting sqref="Q23:Q27">
    <cfRule type="containsText" dxfId="109" priority="34" operator="containsText" text="Office">
      <formula>NOT(ISERROR(SEARCH("Office",Q23)))</formula>
    </cfRule>
    <cfRule type="containsText" dxfId="108" priority="33" operator="containsText" text="Remote">
      <formula>NOT(ISERROR(SEARCH("Remote",Q23)))</formula>
    </cfRule>
  </conditionalFormatting>
  <conditionalFormatting sqref="Q38:Q42">
    <cfRule type="containsText" dxfId="107" priority="20" operator="containsText" text="Office">
      <formula>NOT(ISERROR(SEARCH("Office",Q38)))</formula>
    </cfRule>
    <cfRule type="containsText" dxfId="106" priority="19" operator="containsText" text="Remote">
      <formula>NOT(ISERROR(SEARCH("Remote",Q38)))</formula>
    </cfRule>
  </conditionalFormatting>
  <conditionalFormatting sqref="T10:T14">
    <cfRule type="containsText" dxfId="105" priority="1" operator="containsText" text="Remote">
      <formula>NOT(ISERROR(SEARCH("Remote",T10)))</formula>
    </cfRule>
    <cfRule type="containsText" dxfId="104" priority="2" operator="containsText" text="Office">
      <formula>NOT(ISERROR(SEARCH("Office",T10)))</formula>
    </cfRule>
  </conditionalFormatting>
  <conditionalFormatting sqref="T23:T27">
    <cfRule type="containsText" dxfId="103" priority="30" operator="containsText" text="Office">
      <formula>NOT(ISERROR(SEARCH("Office",T23)))</formula>
    </cfRule>
    <cfRule type="containsText" dxfId="102" priority="29" operator="containsText" text="Remote">
      <formula>NOT(ISERROR(SEARCH("Remote",T23)))</formula>
    </cfRule>
  </conditionalFormatting>
  <conditionalFormatting sqref="T38:T42">
    <cfRule type="containsText" dxfId="101" priority="16" operator="containsText" text="Office">
      <formula>NOT(ISERROR(SEARCH("Office",T38)))</formula>
    </cfRule>
    <cfRule type="containsText" dxfId="100" priority="15" operator="containsText" text="Remote">
      <formula>NOT(ISERROR(SEARCH("Remote",T38)))</formula>
    </cfRule>
  </conditionalFormatting>
  <conditionalFormatting sqref="W10:W14">
    <cfRule type="containsText" dxfId="99" priority="7" operator="containsText" text="Remote">
      <formula>NOT(ISERROR(SEARCH("Remote",W10)))</formula>
    </cfRule>
    <cfRule type="containsText" dxfId="98" priority="8" operator="containsText" text="Office">
      <formula>NOT(ISERROR(SEARCH("Office",W10)))</formula>
    </cfRule>
  </conditionalFormatting>
  <conditionalFormatting sqref="W23:W27">
    <cfRule type="containsText" dxfId="97" priority="63" operator="containsText" text="Remote">
      <formula>NOT(ISERROR(SEARCH("Remote",W23)))</formula>
    </cfRule>
    <cfRule type="containsText" dxfId="96" priority="64" operator="containsText" text="Office">
      <formula>NOT(ISERROR(SEARCH("Office",W23)))</formula>
    </cfRule>
  </conditionalFormatting>
  <conditionalFormatting sqref="W38:W42">
    <cfRule type="containsText" dxfId="95" priority="41" operator="containsText" text="Remote">
      <formula>NOT(ISERROR(SEARCH("Remote",W38)))</formula>
    </cfRule>
    <cfRule type="containsText" dxfId="94" priority="42" operator="containsText" text="Office">
      <formula>NOT(ISERROR(SEARCH("Office",W38)))</formula>
    </cfRule>
  </conditionalFormatting>
  <dataValidations count="2">
    <dataValidation type="list" allowBlank="1" showInputMessage="1" showErrorMessage="1" sqref="Q23:Q27 Q38:Q42 E23:E27 W38:Y42 H23:H27 K23:K27 T38:T42 W23:Y27 K38:K42 E38:E42 T23:T27 H38:H42 N23:N27 N38:N42" xr:uid="{451281E3-427E-47AB-A4A4-6A805AFDA7C4}">
      <formula1>"Remote, Office"</formula1>
    </dataValidation>
    <dataValidation type="list" allowBlank="1" showInputMessage="1" showErrorMessage="1" sqref="E10:E14 H10:H14 K10:K14 N10:N14 Q10:Q14 T10:T14 W10:X14" xr:uid="{E4A18EEF-AD07-409D-AEEF-F9980DB6FF41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E9238724-4B35-4902-A1E5-52ADC15410D5}">
          <x14:formula1>
            <xm:f>FormTools!$A$1:$A$48</xm:f>
          </x14:formula1>
          <xm:sqref>U23:V27 C23:D27 F23:G27 I23:J27 L23:M27 O23:P27 R38:S42 L38:M42 C38:D42 F38:G42 O38:P42 R23:S27 U38:V42 I38:J42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704B-0E7D-42CB-BE64-1B0317E9F7DE}">
  <sheetPr codeName="Sheet29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233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294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295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296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297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298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218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317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299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300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52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141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103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0.29166666666666669</v>
      </c>
      <c r="J23" s="15">
        <v>0.5</v>
      </c>
      <c r="K23" s="17" t="s">
        <v>11</v>
      </c>
      <c r="L23" s="15">
        <v>0.29166666666666669</v>
      </c>
      <c r="M23" s="15">
        <v>0.5</v>
      </c>
      <c r="N23" s="17" t="s">
        <v>11</v>
      </c>
      <c r="O23" s="15">
        <v>0.29166666666666669</v>
      </c>
      <c r="P23" s="15">
        <v>0.5</v>
      </c>
      <c r="Q23" s="17" t="s">
        <v>11</v>
      </c>
      <c r="R23" s="15">
        <v>0.29166666666666669</v>
      </c>
      <c r="S23" s="15">
        <v>0.5</v>
      </c>
      <c r="T23" s="17" t="s">
        <v>11</v>
      </c>
      <c r="U23" s="15">
        <v>0.29166666666666669</v>
      </c>
      <c r="V23" s="15">
        <v>0.5</v>
      </c>
      <c r="W23" s="17" t="s">
        <v>11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0.66666666666666663</v>
      </c>
      <c r="K24" s="17" t="s">
        <v>11</v>
      </c>
      <c r="L24" s="15">
        <v>0.52083333333333337</v>
      </c>
      <c r="M24" s="15">
        <v>0.66666666666666663</v>
      </c>
      <c r="N24" s="17" t="s">
        <v>11</v>
      </c>
      <c r="O24" s="15">
        <v>0.52083333333333337</v>
      </c>
      <c r="P24" s="15">
        <v>0.66666666666666663</v>
      </c>
      <c r="Q24" s="17" t="s">
        <v>11</v>
      </c>
      <c r="R24" s="15">
        <v>0.52083333333333337</v>
      </c>
      <c r="S24" s="15">
        <v>0.66666666666666663</v>
      </c>
      <c r="T24" s="17" t="s">
        <v>11</v>
      </c>
      <c r="U24" s="15">
        <v>0.52083333333333337</v>
      </c>
      <c r="V24" s="15">
        <v>0.60416666666666663</v>
      </c>
      <c r="W24" s="17" t="s">
        <v>11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8.4999999999999982</v>
      </c>
      <c r="J29" s="63"/>
      <c r="K29" s="64"/>
      <c r="L29" s="62" cm="1">
        <f t="array" ref="L29">SUM((M23:M27-L23:L27)*24)</f>
        <v>8.4999999999999982</v>
      </c>
      <c r="M29" s="63"/>
      <c r="N29" s="64"/>
      <c r="O29" s="62" cm="1">
        <f t="array" ref="O29">SUM((P23:P27-O23:O27)*24)</f>
        <v>8.4999999999999982</v>
      </c>
      <c r="P29" s="63"/>
      <c r="Q29" s="64"/>
      <c r="R29" s="62" cm="1">
        <f t="array" ref="R29">SUM((S23:S27-R23:R27)*24)</f>
        <v>8.4999999999999982</v>
      </c>
      <c r="S29" s="63"/>
      <c r="T29" s="64"/>
      <c r="U29" s="62" cm="1">
        <f t="array" ref="U29">SUM((V23:V27-U23:U27)*24)</f>
        <v>6.9999999999999982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40.999999999999993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0.29166666666666669</v>
      </c>
      <c r="J38" s="15">
        <v>0.5</v>
      </c>
      <c r="K38" s="17" t="s">
        <v>11</v>
      </c>
      <c r="L38" s="15">
        <v>0.29166666666666669</v>
      </c>
      <c r="M38" s="15">
        <v>0.5</v>
      </c>
      <c r="N38" s="17" t="s">
        <v>11</v>
      </c>
      <c r="O38" s="15">
        <v>0.29166666666666669</v>
      </c>
      <c r="P38" s="15">
        <v>0.5</v>
      </c>
      <c r="Q38" s="17" t="s">
        <v>11</v>
      </c>
      <c r="R38" s="15">
        <v>0.29166666666666669</v>
      </c>
      <c r="S38" s="15">
        <v>0.5</v>
      </c>
      <c r="T38" s="17" t="s">
        <v>11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0.66666666666666663</v>
      </c>
      <c r="K39" s="17" t="s">
        <v>11</v>
      </c>
      <c r="L39" s="15">
        <v>0.52083333333333337</v>
      </c>
      <c r="M39" s="15">
        <v>0.66666666666666663</v>
      </c>
      <c r="N39" s="17" t="s">
        <v>11</v>
      </c>
      <c r="O39" s="15">
        <v>0.52083333333333337</v>
      </c>
      <c r="P39" s="15">
        <v>0.66666666666666663</v>
      </c>
      <c r="Q39" s="17" t="s">
        <v>11</v>
      </c>
      <c r="R39" s="15">
        <v>0.52083333333333337</v>
      </c>
      <c r="S39" s="15">
        <v>0.66666666666666663</v>
      </c>
      <c r="T39" s="17"/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8.4999999999999982</v>
      </c>
      <c r="J44" s="63"/>
      <c r="K44" s="64"/>
      <c r="L44" s="62" cm="1">
        <f t="array" ref="L44">SUM((M38:M42-L38:L42)*24)</f>
        <v>8.4999999999999982</v>
      </c>
      <c r="M44" s="63"/>
      <c r="N44" s="64"/>
      <c r="O44" s="62" cm="1">
        <f t="array" ref="O44">SUM((P38:P42-O38:O42)*24)</f>
        <v>8.4999999999999982</v>
      </c>
      <c r="P44" s="63"/>
      <c r="Q44" s="64"/>
      <c r="R44" s="62" cm="1">
        <f t="array" ref="R44">SUM((S38:S42-R38:R42)*24)</f>
        <v>8.4999999999999982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33.999999999999993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93" priority="70">
      <formula>C50=TRUE</formula>
    </cfRule>
    <cfRule type="expression" dxfId="92" priority="69">
      <formula>C50=FALSE</formula>
    </cfRule>
  </conditionalFormatting>
  <conditionalFormatting sqref="C30:W30">
    <cfRule type="expression" dxfId="91" priority="74">
      <formula>C30=TRUE</formula>
    </cfRule>
    <cfRule type="expression" dxfId="90" priority="73">
      <formula>C30=FALSE</formula>
    </cfRule>
  </conditionalFormatting>
  <conditionalFormatting sqref="C45:W45">
    <cfRule type="expression" dxfId="89" priority="71">
      <formula>C45=FALSE</formula>
    </cfRule>
    <cfRule type="expression" dxfId="88" priority="72">
      <formula>C45=TRUE</formula>
    </cfRule>
  </conditionalFormatting>
  <conditionalFormatting sqref="E10:E14">
    <cfRule type="containsText" dxfId="87" priority="13" operator="containsText" text="Remote">
      <formula>NOT(ISERROR(SEARCH("Remote",E10)))</formula>
    </cfRule>
    <cfRule type="containsText" dxfId="86" priority="14" operator="containsText" text="Office">
      <formula>NOT(ISERROR(SEARCH("Office",E10)))</formula>
    </cfRule>
  </conditionalFormatting>
  <conditionalFormatting sqref="E23:E27">
    <cfRule type="containsText" dxfId="85" priority="68" operator="containsText" text="Office">
      <formula>NOT(ISERROR(SEARCH("Office",E23)))</formula>
    </cfRule>
    <cfRule type="containsText" dxfId="84" priority="67" operator="containsText" text="Remote">
      <formula>NOT(ISERROR(SEARCH("Remote",E23)))</formula>
    </cfRule>
  </conditionalFormatting>
  <conditionalFormatting sqref="E38:E42">
    <cfRule type="containsText" dxfId="83" priority="54" operator="containsText" text="Office">
      <formula>NOT(ISERROR(SEARCH("Office",E38)))</formula>
    </cfRule>
    <cfRule type="containsText" dxfId="82" priority="53" operator="containsText" text="Remote">
      <formula>NOT(ISERROR(SEARCH("Remote",E38)))</formula>
    </cfRule>
  </conditionalFormatting>
  <conditionalFormatting sqref="H10:H14">
    <cfRule type="containsText" dxfId="81" priority="11" operator="containsText" text="Remote">
      <formula>NOT(ISERROR(SEARCH("Remote",H10)))</formula>
    </cfRule>
    <cfRule type="containsText" dxfId="80" priority="12" operator="containsText" text="Office">
      <formula>NOT(ISERROR(SEARCH("Office",H10)))</formula>
    </cfRule>
  </conditionalFormatting>
  <conditionalFormatting sqref="H23:H27">
    <cfRule type="containsText" dxfId="79" priority="66" operator="containsText" text="Office">
      <formula>NOT(ISERROR(SEARCH("Office",H23)))</formula>
    </cfRule>
    <cfRule type="containsText" dxfId="78" priority="65" operator="containsText" text="Remote">
      <formula>NOT(ISERROR(SEARCH("Remote",H23)))</formula>
    </cfRule>
  </conditionalFormatting>
  <conditionalFormatting sqref="H38:H42">
    <cfRule type="containsText" dxfId="77" priority="51" operator="containsText" text="Remote">
      <formula>NOT(ISERROR(SEARCH("Remote",H38)))</formula>
    </cfRule>
    <cfRule type="containsText" dxfId="76" priority="52" operator="containsText" text="Office">
      <formula>NOT(ISERROR(SEARCH("Office",H38)))</formula>
    </cfRule>
  </conditionalFormatting>
  <conditionalFormatting sqref="I31:T31">
    <cfRule type="expression" dxfId="75" priority="77">
      <formula>I31=FALSE</formula>
    </cfRule>
    <cfRule type="expression" dxfId="74" priority="78">
      <formula>I31=TRUE</formula>
    </cfRule>
  </conditionalFormatting>
  <conditionalFormatting sqref="I46:T46">
    <cfRule type="expression" dxfId="73" priority="76">
      <formula>I46=TRUE</formula>
    </cfRule>
    <cfRule type="expression" dxfId="72" priority="75">
      <formula>I46=FALSE</formula>
    </cfRule>
  </conditionalFormatting>
  <conditionalFormatting sqref="K10:K14">
    <cfRule type="containsText" dxfId="71" priority="9" operator="containsText" text="Remote">
      <formula>NOT(ISERROR(SEARCH("Remote",K10)))</formula>
    </cfRule>
    <cfRule type="containsText" dxfId="70" priority="10" operator="containsText" text="Office">
      <formula>NOT(ISERROR(SEARCH("Office",K10)))</formula>
    </cfRule>
  </conditionalFormatting>
  <conditionalFormatting sqref="K23:K27">
    <cfRule type="containsText" dxfId="69" priority="64" operator="containsText" text="Office">
      <formula>NOT(ISERROR(SEARCH("Office",K23)))</formula>
    </cfRule>
    <cfRule type="containsText" dxfId="68" priority="63" operator="containsText" text="Remote">
      <formula>NOT(ISERROR(SEARCH("Remote",K23)))</formula>
    </cfRule>
  </conditionalFormatting>
  <conditionalFormatting sqref="K38:K42">
    <cfRule type="containsText" dxfId="67" priority="25" operator="containsText" text="Remote">
      <formula>NOT(ISERROR(SEARCH("Remote",K38)))</formula>
    </cfRule>
    <cfRule type="containsText" dxfId="66" priority="26" operator="containsText" text="Office">
      <formula>NOT(ISERROR(SEARCH("Office",K38)))</formula>
    </cfRule>
  </conditionalFormatting>
  <conditionalFormatting sqref="N10:N14">
    <cfRule type="containsText" dxfId="65" priority="8" operator="containsText" text="Office">
      <formula>NOT(ISERROR(SEARCH("Office",N10)))</formula>
    </cfRule>
    <cfRule type="containsText" dxfId="64" priority="7" operator="containsText" text="Remote">
      <formula>NOT(ISERROR(SEARCH("Remote",N10)))</formula>
    </cfRule>
  </conditionalFormatting>
  <conditionalFormatting sqref="N23:N27">
    <cfRule type="containsText" dxfId="63" priority="39" operator="containsText" text="Remote">
      <formula>NOT(ISERROR(SEARCH("Remote",N23)))</formula>
    </cfRule>
    <cfRule type="containsText" dxfId="62" priority="40" operator="containsText" text="Office">
      <formula>NOT(ISERROR(SEARCH("Office",N23)))</formula>
    </cfRule>
  </conditionalFormatting>
  <conditionalFormatting sqref="N38:N42">
    <cfRule type="containsText" dxfId="61" priority="20" operator="containsText" text="Office">
      <formula>NOT(ISERROR(SEARCH("Office",N38)))</formula>
    </cfRule>
    <cfRule type="containsText" dxfId="60" priority="19" operator="containsText" text="Remote">
      <formula>NOT(ISERROR(SEARCH("Remote",N38)))</formula>
    </cfRule>
  </conditionalFormatting>
  <conditionalFormatting sqref="Q10:Q14">
    <cfRule type="containsText" dxfId="59" priority="6" operator="containsText" text="Office">
      <formula>NOT(ISERROR(SEARCH("Office",Q10)))</formula>
    </cfRule>
    <cfRule type="containsText" dxfId="58" priority="5" operator="containsText" text="Remote">
      <formula>NOT(ISERROR(SEARCH("Remote",Q10)))</formula>
    </cfRule>
  </conditionalFormatting>
  <conditionalFormatting sqref="Q23:Q27">
    <cfRule type="containsText" dxfId="57" priority="31" operator="containsText" text="Remote">
      <formula>NOT(ISERROR(SEARCH("Remote",Q23)))</formula>
    </cfRule>
    <cfRule type="containsText" dxfId="56" priority="32" operator="containsText" text="Office">
      <formula>NOT(ISERROR(SEARCH("Office",Q23)))</formula>
    </cfRule>
  </conditionalFormatting>
  <conditionalFormatting sqref="Q38:Q42">
    <cfRule type="containsText" dxfId="55" priority="18" operator="containsText" text="Office">
      <formula>NOT(ISERROR(SEARCH("Office",Q38)))</formula>
    </cfRule>
    <cfRule type="containsText" dxfId="54" priority="17" operator="containsText" text="Remote">
      <formula>NOT(ISERROR(SEARCH("Remote",Q38)))</formula>
    </cfRule>
  </conditionalFormatting>
  <conditionalFormatting sqref="T10:T14">
    <cfRule type="containsText" dxfId="53" priority="1" operator="containsText" text="Remote">
      <formula>NOT(ISERROR(SEARCH("Remote",T10)))</formula>
    </cfRule>
    <cfRule type="containsText" dxfId="52" priority="2" operator="containsText" text="Office">
      <formula>NOT(ISERROR(SEARCH("Office",T10)))</formula>
    </cfRule>
  </conditionalFormatting>
  <conditionalFormatting sqref="T23:T27">
    <cfRule type="containsText" dxfId="51" priority="28" operator="containsText" text="Office">
      <formula>NOT(ISERROR(SEARCH("Office",T23)))</formula>
    </cfRule>
    <cfRule type="containsText" dxfId="50" priority="27" operator="containsText" text="Remote">
      <formula>NOT(ISERROR(SEARCH("Remote",T23)))</formula>
    </cfRule>
  </conditionalFormatting>
  <conditionalFormatting sqref="T38:T42">
    <cfRule type="containsText" dxfId="49" priority="16" operator="containsText" text="Office">
      <formula>NOT(ISERROR(SEARCH("Office",T38)))</formula>
    </cfRule>
    <cfRule type="containsText" dxfId="48" priority="15" operator="containsText" text="Remote">
      <formula>NOT(ISERROR(SEARCH("Remote",T38)))</formula>
    </cfRule>
  </conditionalFormatting>
  <conditionalFormatting sqref="W10:W14">
    <cfRule type="containsText" dxfId="47" priority="4" operator="containsText" text="Office">
      <formula>NOT(ISERROR(SEARCH("Office",W10)))</formula>
    </cfRule>
    <cfRule type="containsText" dxfId="46" priority="3" operator="containsText" text="Remote">
      <formula>NOT(ISERROR(SEARCH("Remote",W10)))</formula>
    </cfRule>
  </conditionalFormatting>
  <conditionalFormatting sqref="W23:W27">
    <cfRule type="containsText" dxfId="45" priority="30" operator="containsText" text="Office">
      <formula>NOT(ISERROR(SEARCH("Office",W23)))</formula>
    </cfRule>
    <cfRule type="containsText" dxfId="44" priority="29" operator="containsText" text="Remote">
      <formula>NOT(ISERROR(SEARCH("Remote",W23)))</formula>
    </cfRule>
  </conditionalFormatting>
  <conditionalFormatting sqref="W38:W42">
    <cfRule type="containsText" dxfId="43" priority="33" operator="containsText" text="Remote">
      <formula>NOT(ISERROR(SEARCH("Remote",W38)))</formula>
    </cfRule>
    <cfRule type="containsText" dxfId="42" priority="34" operator="containsText" text="Office">
      <formula>NOT(ISERROR(SEARCH("Office",W38)))</formula>
    </cfRule>
  </conditionalFormatting>
  <dataValidations count="2">
    <dataValidation type="list" allowBlank="1" showInputMessage="1" showErrorMessage="1" sqref="W23:Y27 Q38:Q42 E23:E27 N23:N27 H23:H27 K23:K27 T38:T42 Q23:Q27 K38:K42 E38:E42 T23:T27 H38:H42 W38:Y42 N38:N42" xr:uid="{55434FB3-C46B-4EEF-B0EA-3056FD4678DE}">
      <formula1>"Remote, Office"</formula1>
    </dataValidation>
    <dataValidation type="list" allowBlank="1" showInputMessage="1" showErrorMessage="1" sqref="E10:E14 H10:H14 K10:K14 N10:N14 Q10:Q14 T10:T14 W10:X14" xr:uid="{B3A0CAAE-483B-4739-AA89-07BC5C8ABB1E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EF4548EC-2B1C-4F18-AD76-DEE4F5B58E1F}">
          <x14:formula1>
            <xm:f>FormTools!$A$1:$A$48</xm:f>
          </x14:formula1>
          <xm:sqref>O23:P27 C23:D27 F23:G27 I23:J27 U38:V42 U23:V27 R38:S42 L38:M42 C38:D42 F38:G42 O38:P42 R23:S27 L23:M27 I38:J42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C7EE-8DB5-4807-A1FB-53C8888230B3}">
  <sheetPr codeName="Sheet30"/>
  <dimension ref="A1:Y52"/>
  <sheetViews>
    <sheetView zoomScale="90" zoomScaleNormal="90" workbookViewId="0">
      <selection activeCell="C8" sqref="C8:X8"/>
    </sheetView>
  </sheetViews>
  <sheetFormatPr defaultColWidth="9.140625" defaultRowHeight="15" x14ac:dyDescent="0.25"/>
  <cols>
    <col min="1" max="1" width="22.5703125" style="6" customWidth="1"/>
    <col min="2" max="2" width="1.5703125" style="6" customWidth="1"/>
    <col min="3" max="23" width="9.7109375" style="2" customWidth="1"/>
    <col min="24" max="25" width="8.28515625" style="2" customWidth="1"/>
    <col min="26" max="16384" width="9.140625" style="2"/>
  </cols>
  <sheetData>
    <row r="1" spans="1:24" ht="22.5" customHeight="1" x14ac:dyDescent="0.25">
      <c r="A1" s="39" t="s">
        <v>30</v>
      </c>
      <c r="B1" s="40"/>
      <c r="C1" s="45" t="s">
        <v>301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24" ht="22.5" customHeight="1" x14ac:dyDescent="0.25">
      <c r="A2" s="41" t="s">
        <v>31</v>
      </c>
      <c r="B2" s="41"/>
      <c r="C2" s="56" t="s">
        <v>294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1:24" ht="22.5" customHeight="1" x14ac:dyDescent="0.25">
      <c r="A3" s="41" t="s">
        <v>29</v>
      </c>
      <c r="B3" s="41"/>
      <c r="C3" s="56" t="s">
        <v>302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22.5" customHeight="1" x14ac:dyDescent="0.25">
      <c r="A4" s="41" t="s">
        <v>96</v>
      </c>
      <c r="B4" s="41"/>
      <c r="C4" s="56" t="s">
        <v>303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 ht="22.5" customHeight="1" x14ac:dyDescent="0.25">
      <c r="A5" s="41" t="s">
        <v>79</v>
      </c>
      <c r="B5" s="41"/>
      <c r="C5" s="56" t="s">
        <v>304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ht="22.5" customHeight="1" x14ac:dyDescent="0.25">
      <c r="A6" s="41" t="s">
        <v>72</v>
      </c>
      <c r="B6" s="41"/>
      <c r="C6" s="56" t="s">
        <v>305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1:24" ht="22.5" customHeight="1" x14ac:dyDescent="0.25">
      <c r="A7" s="41" t="s">
        <v>78</v>
      </c>
      <c r="B7" s="41"/>
      <c r="C7" s="56">
        <v>223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1:24" ht="22.5" customHeight="1" x14ac:dyDescent="0.25">
      <c r="A8" s="41" t="s">
        <v>315</v>
      </c>
      <c r="B8" s="41"/>
      <c r="C8" s="59" t="s">
        <v>316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6"/>
    </row>
    <row r="9" spans="1:24" ht="22.5" customHeight="1" x14ac:dyDescent="0.25">
      <c r="A9" s="41" t="s">
        <v>77</v>
      </c>
      <c r="B9" s="41"/>
      <c r="C9" s="56" t="s">
        <v>306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</row>
    <row r="10" spans="1:24" ht="22.5" customHeight="1" x14ac:dyDescent="0.25">
      <c r="A10" s="41" t="s">
        <v>76</v>
      </c>
      <c r="B10" s="41"/>
      <c r="C10" s="56" t="s">
        <v>307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</row>
    <row r="11" spans="1:24" ht="22.5" customHeight="1" x14ac:dyDescent="0.25">
      <c r="A11" s="41" t="s">
        <v>80</v>
      </c>
      <c r="B11" s="41"/>
      <c r="C11" s="56" t="s">
        <v>40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ht="22.5" customHeight="1" x14ac:dyDescent="0.25">
      <c r="A12" s="41" t="s">
        <v>81</v>
      </c>
      <c r="B12" s="41"/>
      <c r="C12" s="56" t="s">
        <v>216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</row>
    <row r="13" spans="1:24" ht="22.5" customHeight="1" x14ac:dyDescent="0.25">
      <c r="A13" s="41" t="s">
        <v>83</v>
      </c>
      <c r="B13" s="41"/>
      <c r="C13" s="56" t="s">
        <v>85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spans="1:24" ht="22.5" customHeight="1" x14ac:dyDescent="0.25">
      <c r="A14" s="41" t="s">
        <v>87</v>
      </c>
      <c r="B14" s="41"/>
      <c r="C14" s="56" t="s">
        <v>88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spans="1:24" ht="22.5" customHeight="1" x14ac:dyDescent="0.25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3"/>
    </row>
    <row r="16" spans="1:24" ht="22.5" customHeight="1" x14ac:dyDescent="0.25">
      <c r="A16" s="71" t="s">
        <v>35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spans="1:25" ht="15" customHeight="1" x14ac:dyDescent="0.25">
      <c r="A17" s="46" t="s">
        <v>18</v>
      </c>
      <c r="B17" s="48"/>
      <c r="C17" s="49" t="str">
        <f>FormTools!B1</f>
        <v>1. MARK YOUR SCHEDULE: Use dropdown menus or begin typing to select start/end times for each day's work blocks. Leave unused blocks empty. Include location designations for each work block (Office, Remote)
2. CORE HOURS REQUIREMENT: You must routinely schedule at least 7 working hours between 7:00 AM - 5:00 PM, Monday through Thursday, unless using PTO or Travel.
3. DAILY LIMIT: Maximum 10 hours per day.
     Note: Non-Exempt employees are limited to 40 hours per week and all employees are limited to 75 hours per pay period, unless overtime has been approved by your supervisor.
     Green = Compliant, Red = Non-Compliant. Form auto-calculates totals and compliance.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5" ht="60" customHeight="1" x14ac:dyDescent="0.25">
      <c r="A18" s="47"/>
      <c r="B18" s="48"/>
      <c r="C18" s="51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spans="1:25" ht="15.75" thickBot="1" x14ac:dyDescent="0.3">
      <c r="X19" s="7"/>
    </row>
    <row r="20" spans="1:25" ht="21.75" thickBot="1" x14ac:dyDescent="0.3">
      <c r="C20" s="53" t="s">
        <v>20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7"/>
    </row>
    <row r="21" spans="1:25" ht="15.75" x14ac:dyDescent="0.25">
      <c r="C21" s="65" t="s">
        <v>5</v>
      </c>
      <c r="D21" s="60"/>
      <c r="E21" s="61"/>
      <c r="F21" s="60" t="s">
        <v>6</v>
      </c>
      <c r="G21" s="60"/>
      <c r="H21" s="61"/>
      <c r="I21" s="60" t="s">
        <v>0</v>
      </c>
      <c r="J21" s="60"/>
      <c r="K21" s="61"/>
      <c r="L21" s="60" t="s">
        <v>1</v>
      </c>
      <c r="M21" s="60"/>
      <c r="N21" s="61"/>
      <c r="O21" s="60" t="s">
        <v>2</v>
      </c>
      <c r="P21" s="60"/>
      <c r="Q21" s="61"/>
      <c r="R21" s="60" t="s">
        <v>3</v>
      </c>
      <c r="S21" s="60"/>
      <c r="T21" s="61"/>
      <c r="U21" s="60" t="s">
        <v>4</v>
      </c>
      <c r="V21" s="60"/>
      <c r="W21" s="61"/>
      <c r="X21" s="7"/>
    </row>
    <row r="22" spans="1:25" x14ac:dyDescent="0.25">
      <c r="C22" s="19" t="s">
        <v>7</v>
      </c>
      <c r="D22" s="20" t="s">
        <v>8</v>
      </c>
      <c r="E22" s="21" t="s">
        <v>10</v>
      </c>
      <c r="F22" s="22" t="s">
        <v>7</v>
      </c>
      <c r="G22" s="23" t="s">
        <v>8</v>
      </c>
      <c r="H22" s="21" t="s">
        <v>10</v>
      </c>
      <c r="I22" s="23" t="s">
        <v>7</v>
      </c>
      <c r="J22" s="23" t="s">
        <v>8</v>
      </c>
      <c r="K22" s="21" t="s">
        <v>10</v>
      </c>
      <c r="L22" s="23" t="s">
        <v>7</v>
      </c>
      <c r="M22" s="23" t="s">
        <v>8</v>
      </c>
      <c r="N22" s="21" t="s">
        <v>10</v>
      </c>
      <c r="O22" s="23" t="s">
        <v>7</v>
      </c>
      <c r="P22" s="23" t="s">
        <v>8</v>
      </c>
      <c r="Q22" s="21" t="s">
        <v>10</v>
      </c>
      <c r="R22" s="23" t="s">
        <v>7</v>
      </c>
      <c r="S22" s="23" t="s">
        <v>8</v>
      </c>
      <c r="T22" s="21" t="s">
        <v>10</v>
      </c>
      <c r="U22" s="23" t="s">
        <v>7</v>
      </c>
      <c r="V22" s="23" t="s">
        <v>8</v>
      </c>
      <c r="W22" s="21" t="s">
        <v>10</v>
      </c>
      <c r="X22" s="8"/>
      <c r="Y22" s="9"/>
    </row>
    <row r="23" spans="1:25" x14ac:dyDescent="0.25">
      <c r="A23" s="6" t="s">
        <v>9</v>
      </c>
      <c r="C23" s="18"/>
      <c r="D23" s="15"/>
      <c r="E23" s="17"/>
      <c r="F23" s="16"/>
      <c r="G23" s="15"/>
      <c r="H23" s="17"/>
      <c r="I23" s="15">
        <v>0.33333333333333331</v>
      </c>
      <c r="J23" s="15">
        <v>0.5</v>
      </c>
      <c r="K23" s="17" t="s">
        <v>23</v>
      </c>
      <c r="L23" s="15">
        <v>0.33333333333333331</v>
      </c>
      <c r="M23" s="15">
        <v>0.5</v>
      </c>
      <c r="N23" s="17" t="s">
        <v>23</v>
      </c>
      <c r="O23" s="15">
        <v>0.33333333333333331</v>
      </c>
      <c r="P23" s="15">
        <v>0.5</v>
      </c>
      <c r="Q23" s="17" t="s">
        <v>23</v>
      </c>
      <c r="R23" s="15">
        <v>0.33333333333333331</v>
      </c>
      <c r="S23" s="15">
        <v>0.5</v>
      </c>
      <c r="T23" s="17" t="s">
        <v>23</v>
      </c>
      <c r="U23" s="15">
        <v>0.33333333333333331</v>
      </c>
      <c r="V23" s="15">
        <v>0.5</v>
      </c>
      <c r="W23" s="17" t="s">
        <v>23</v>
      </c>
      <c r="X23" s="7"/>
    </row>
    <row r="24" spans="1:25" x14ac:dyDescent="0.25">
      <c r="A24" s="6" t="s">
        <v>14</v>
      </c>
      <c r="C24" s="18"/>
      <c r="D24" s="15"/>
      <c r="E24" s="17"/>
      <c r="F24" s="16"/>
      <c r="G24" s="15"/>
      <c r="H24" s="17"/>
      <c r="I24" s="15">
        <v>0.52083333333333337</v>
      </c>
      <c r="J24" s="15">
        <v>0.70833333333333337</v>
      </c>
      <c r="K24" s="17" t="s">
        <v>23</v>
      </c>
      <c r="L24" s="15">
        <v>0.52083333333333337</v>
      </c>
      <c r="M24" s="15">
        <v>0.70833333333333337</v>
      </c>
      <c r="N24" s="17" t="s">
        <v>23</v>
      </c>
      <c r="O24" s="15">
        <v>0.52083333333333337</v>
      </c>
      <c r="P24" s="15">
        <v>0.70833333333333337</v>
      </c>
      <c r="Q24" s="17" t="s">
        <v>23</v>
      </c>
      <c r="R24" s="15">
        <v>0.52083333333333337</v>
      </c>
      <c r="S24" s="15">
        <v>0.70833333333333337</v>
      </c>
      <c r="T24" s="17" t="s">
        <v>23</v>
      </c>
      <c r="U24" s="15">
        <v>0.52083333333333337</v>
      </c>
      <c r="V24" s="15">
        <v>0.64583333333333337</v>
      </c>
      <c r="W24" s="17" t="s">
        <v>23</v>
      </c>
      <c r="X24" s="7"/>
    </row>
    <row r="25" spans="1:25" x14ac:dyDescent="0.25">
      <c r="A25" s="6" t="s">
        <v>15</v>
      </c>
      <c r="C25" s="18"/>
      <c r="D25" s="15"/>
      <c r="E25" s="17"/>
      <c r="F25" s="16"/>
      <c r="G25" s="15"/>
      <c r="H25" s="17"/>
      <c r="I25" s="15"/>
      <c r="J25" s="15"/>
      <c r="K25" s="17"/>
      <c r="L25" s="15"/>
      <c r="M25" s="15"/>
      <c r="N25" s="17"/>
      <c r="O25" s="15"/>
      <c r="P25" s="15"/>
      <c r="Q25" s="17"/>
      <c r="R25" s="15"/>
      <c r="S25" s="15"/>
      <c r="T25" s="17"/>
      <c r="U25" s="15"/>
      <c r="V25" s="15"/>
      <c r="W25" s="17"/>
      <c r="X25" s="7"/>
    </row>
    <row r="26" spans="1:25" x14ac:dyDescent="0.25">
      <c r="A26" s="6" t="s">
        <v>16</v>
      </c>
      <c r="C26" s="24"/>
      <c r="D26" s="25"/>
      <c r="E26" s="26"/>
      <c r="F26" s="27"/>
      <c r="G26" s="25"/>
      <c r="H26" s="26"/>
      <c r="I26" s="25"/>
      <c r="J26" s="25"/>
      <c r="K26" s="26"/>
      <c r="L26" s="25"/>
      <c r="M26" s="25"/>
      <c r="N26" s="26"/>
      <c r="O26" s="25"/>
      <c r="P26" s="25"/>
      <c r="Q26" s="26"/>
      <c r="R26" s="25"/>
      <c r="S26" s="25"/>
      <c r="T26" s="26"/>
      <c r="U26" s="25"/>
      <c r="V26" s="25"/>
      <c r="W26" s="26"/>
      <c r="X26" s="7"/>
    </row>
    <row r="27" spans="1:25" ht="15.75" thickBot="1" x14ac:dyDescent="0.3">
      <c r="A27" s="6" t="s">
        <v>17</v>
      </c>
      <c r="C27" s="28"/>
      <c r="D27" s="29"/>
      <c r="E27" s="30"/>
      <c r="F27" s="31"/>
      <c r="G27" s="29"/>
      <c r="H27" s="30"/>
      <c r="I27" s="29"/>
      <c r="J27" s="29"/>
      <c r="K27" s="30"/>
      <c r="L27" s="29"/>
      <c r="M27" s="29"/>
      <c r="N27" s="30"/>
      <c r="O27" s="29"/>
      <c r="P27" s="29"/>
      <c r="Q27" s="30"/>
      <c r="R27" s="29"/>
      <c r="S27" s="29"/>
      <c r="T27" s="30"/>
      <c r="U27" s="29"/>
      <c r="V27" s="29"/>
      <c r="W27" s="30"/>
      <c r="X27" s="7"/>
    </row>
    <row r="28" spans="1:25" x14ac:dyDescent="0.25">
      <c r="X28" s="7"/>
    </row>
    <row r="29" spans="1:25" x14ac:dyDescent="0.25">
      <c r="A29" s="10" t="s">
        <v>12</v>
      </c>
      <c r="C29" s="62" cm="1">
        <f t="array" ref="C29">SUM((D23:D27-C23:C27)*24)</f>
        <v>0</v>
      </c>
      <c r="D29" s="63"/>
      <c r="E29" s="64"/>
      <c r="F29" s="62" cm="1">
        <f t="array" ref="F29">SUM((G23:G27-F23:F27)*24)</f>
        <v>0</v>
      </c>
      <c r="G29" s="63"/>
      <c r="H29" s="64"/>
      <c r="I29" s="62" cm="1">
        <f t="array" ref="I29">SUM((J23:J27-I23:I27)*24)</f>
        <v>8.5</v>
      </c>
      <c r="J29" s="63"/>
      <c r="K29" s="64"/>
      <c r="L29" s="62" cm="1">
        <f t="array" ref="L29">SUM((M23:M27-L23:L27)*24)</f>
        <v>8.5</v>
      </c>
      <c r="M29" s="63"/>
      <c r="N29" s="64"/>
      <c r="O29" s="62" cm="1">
        <f t="array" ref="O29">SUM((P23:P27-O23:O27)*24)</f>
        <v>8.5</v>
      </c>
      <c r="P29" s="63"/>
      <c r="Q29" s="64"/>
      <c r="R29" s="62" cm="1">
        <f t="array" ref="R29">SUM((S23:S27-R23:R27)*24)</f>
        <v>8.5</v>
      </c>
      <c r="S29" s="63"/>
      <c r="T29" s="64"/>
      <c r="U29" s="62" cm="1">
        <f t="array" ref="U29">SUM((V23:V27-U23:U27)*24)</f>
        <v>7</v>
      </c>
      <c r="V29" s="63"/>
      <c r="W29" s="64"/>
      <c r="X29" s="7"/>
    </row>
    <row r="30" spans="1:25" x14ac:dyDescent="0.25">
      <c r="A30" s="10" t="s">
        <v>19</v>
      </c>
      <c r="C30" s="66" t="b">
        <f>C29&lt;=10</f>
        <v>1</v>
      </c>
      <c r="D30" s="66"/>
      <c r="E30" s="66"/>
      <c r="F30" s="66" t="b">
        <f>F29&lt;=10</f>
        <v>1</v>
      </c>
      <c r="G30" s="66"/>
      <c r="H30" s="66"/>
      <c r="I30" s="66" t="b">
        <f>I29&lt;=10</f>
        <v>1</v>
      </c>
      <c r="J30" s="66"/>
      <c r="K30" s="66"/>
      <c r="L30" s="66" t="b">
        <f>L29&lt;=10</f>
        <v>1</v>
      </c>
      <c r="M30" s="66"/>
      <c r="N30" s="66"/>
      <c r="O30" s="66" t="b">
        <f>O29&lt;=10</f>
        <v>1</v>
      </c>
      <c r="P30" s="66"/>
      <c r="Q30" s="66"/>
      <c r="R30" s="66" t="b">
        <f>R29&lt;=10</f>
        <v>1</v>
      </c>
      <c r="S30" s="66"/>
      <c r="T30" s="66"/>
      <c r="U30" s="66" t="b">
        <f>U29&lt;=10</f>
        <v>1</v>
      </c>
      <c r="V30" s="66"/>
      <c r="W30" s="66"/>
      <c r="X30" s="7"/>
    </row>
    <row r="31" spans="1:25" x14ac:dyDescent="0.25">
      <c r="A31" s="10" t="s">
        <v>21</v>
      </c>
      <c r="C31" s="67" t="s">
        <v>22</v>
      </c>
      <c r="D31" s="67"/>
      <c r="E31" s="67"/>
      <c r="F31" s="67" t="s">
        <v>22</v>
      </c>
      <c r="G31" s="67"/>
      <c r="H31" s="67"/>
      <c r="I31" s="66" t="b">
        <f>IF(J23&lt;&gt;"",MAX(0,(MIN(TIME(17,0,0),J23)-MAX(TIME(7,0,0),I23))*24),0) + IF(J24&lt;&gt;"",MAX(0,(MIN(TIME(17,0,0),J24)-MAX(TIME(7,0,0),I24))*24),0) + IF(J25&lt;&gt;"",MAX(0,(MIN(TIME(17,0,0),J25)-MAX(TIME(7,0,0),I25))*24),0) + IF(J26&lt;&gt;"",MAX(0,(MIN(TIME(17,0,0),J26)-MAX(TIME(7,0,0),I26))*24),0) + IF(J27&lt;&gt;"",MAX(0,(MIN(TIME(17,0,0),J27)-MAX(TIME(7,0,0),I27))*24),0) &gt;= 7</f>
        <v>1</v>
      </c>
      <c r="J31" s="66"/>
      <c r="K31" s="66"/>
      <c r="L31" s="66" t="b">
        <f>IF(M23&lt;&gt;"",MAX(0,(MIN(TIME(17,0,0),M23)-MAX(TIME(7,0,0),L23))*24),0) + IF(M24&lt;&gt;"",MAX(0,(MIN(TIME(17,0,0),M24)-MAX(TIME(7,0,0),L24))*24),0) + IF(M25&lt;&gt;"",MAX(0,(MIN(TIME(17,0,0),M25)-MAX(TIME(7,0,0),L25))*24),0) + IF(M26&lt;&gt;"",MAX(0,(MIN(TIME(17,0,0),M26)-MAX(TIME(7,0,0),L26))*24),0) + IF(M27&lt;&gt;"",MAX(0,(MIN(TIME(17,0,0),M27)-MAX(TIME(7,0,0),L27))*24),0) &gt;= 7</f>
        <v>1</v>
      </c>
      <c r="M31" s="66"/>
      <c r="N31" s="66"/>
      <c r="O31" s="66" t="b">
        <f>IF(P23&lt;&gt;"",MAX(0,(MIN(TIME(17,0,0),P23)-MAX(TIME(7,0,0),O23))*24),0) + IF(P24&lt;&gt;"",MAX(0,(MIN(TIME(17,0,0),P24)-MAX(TIME(7,0,0),O24))*24),0) + IF(P25&lt;&gt;"",MAX(0,(MIN(TIME(17,0,0),P25)-MAX(TIME(7,0,0),O25))*24),0) + IF(P26&lt;&gt;"",MAX(0,(MIN(TIME(17,0,0),P26)-MAX(TIME(7,0,0),O26))*24),0) + IF(P27&lt;&gt;"",MAX(0,(MIN(TIME(17,0,0),P27)-MAX(TIME(7,0,0),O27))*24),0) &gt;= 7</f>
        <v>1</v>
      </c>
      <c r="P31" s="66"/>
      <c r="Q31" s="66"/>
      <c r="R31" s="66" t="b">
        <f>IF(S23&lt;&gt;"",MAX(0,(MIN(TIME(17,0,0),S23)-MAX(TIME(7,0,0),R23))*24),0) + IF(S24&lt;&gt;"",MAX(0,(MIN(TIME(17,0,0),S24)-MAX(TIME(7,0,0),R24))*24),0) + IF(S25&lt;&gt;"",MAX(0,(MIN(TIME(17,0,0),S25)-MAX(TIME(7,0,0),R25))*24),0) + IF(S26&lt;&gt;"",MAX(0,(MIN(TIME(17,0,0),S26)-MAX(TIME(7,0,0),R26))*24),0) + IF(S27&lt;&gt;"",MAX(0,(MIN(TIME(17,0,0),S27)-MAX(TIME(7,0,0),R27))*24),0) &gt;= 7</f>
        <v>1</v>
      </c>
      <c r="S31" s="66"/>
      <c r="T31" s="66"/>
      <c r="U31" s="67" t="s">
        <v>22</v>
      </c>
      <c r="V31" s="67"/>
      <c r="W31" s="67"/>
      <c r="X31" s="7"/>
    </row>
    <row r="32" spans="1:25" x14ac:dyDescent="0.2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"/>
    </row>
    <row r="33" spans="1:25" x14ac:dyDescent="0.25">
      <c r="A33" s="10" t="s">
        <v>25</v>
      </c>
      <c r="C33" s="68">
        <f>SUM(C29:W29)</f>
        <v>41</v>
      </c>
      <c r="D33" s="68"/>
      <c r="E33" s="6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"/>
    </row>
    <row r="34" spans="1:25" ht="15.75" thickBot="1" x14ac:dyDescent="0.3">
      <c r="X34" s="7"/>
    </row>
    <row r="35" spans="1:25" ht="21.75" thickBot="1" x14ac:dyDescent="0.3">
      <c r="C35" s="53" t="s">
        <v>13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5"/>
      <c r="X35" s="7"/>
    </row>
    <row r="36" spans="1:25" ht="15.75" x14ac:dyDescent="0.25">
      <c r="C36" s="65" t="s">
        <v>5</v>
      </c>
      <c r="D36" s="60"/>
      <c r="E36" s="61"/>
      <c r="F36" s="60" t="s">
        <v>6</v>
      </c>
      <c r="G36" s="60"/>
      <c r="H36" s="61"/>
      <c r="I36" s="60" t="s">
        <v>0</v>
      </c>
      <c r="J36" s="60"/>
      <c r="K36" s="61"/>
      <c r="L36" s="60" t="s">
        <v>1</v>
      </c>
      <c r="M36" s="60"/>
      <c r="N36" s="61"/>
      <c r="O36" s="60" t="s">
        <v>2</v>
      </c>
      <c r="P36" s="60"/>
      <c r="Q36" s="61"/>
      <c r="R36" s="60" t="s">
        <v>3</v>
      </c>
      <c r="S36" s="60"/>
      <c r="T36" s="61"/>
      <c r="U36" s="60" t="s">
        <v>4</v>
      </c>
      <c r="V36" s="60"/>
      <c r="W36" s="61"/>
      <c r="X36" s="7"/>
    </row>
    <row r="37" spans="1:25" x14ac:dyDescent="0.25">
      <c r="C37" s="19" t="s">
        <v>7</v>
      </c>
      <c r="D37" s="20" t="s">
        <v>8</v>
      </c>
      <c r="E37" s="21" t="s">
        <v>10</v>
      </c>
      <c r="F37" s="22" t="s">
        <v>7</v>
      </c>
      <c r="G37" s="23" t="s">
        <v>8</v>
      </c>
      <c r="H37" s="21" t="s">
        <v>10</v>
      </c>
      <c r="I37" s="23" t="s">
        <v>7</v>
      </c>
      <c r="J37" s="23" t="s">
        <v>8</v>
      </c>
      <c r="K37" s="21" t="s">
        <v>10</v>
      </c>
      <c r="L37" s="23" t="s">
        <v>7</v>
      </c>
      <c r="M37" s="23" t="s">
        <v>8</v>
      </c>
      <c r="N37" s="21" t="s">
        <v>10</v>
      </c>
      <c r="O37" s="23" t="s">
        <v>7</v>
      </c>
      <c r="P37" s="23" t="s">
        <v>8</v>
      </c>
      <c r="Q37" s="21" t="s">
        <v>10</v>
      </c>
      <c r="R37" s="23" t="s">
        <v>7</v>
      </c>
      <c r="S37" s="23" t="s">
        <v>8</v>
      </c>
      <c r="T37" s="21" t="s">
        <v>10</v>
      </c>
      <c r="U37" s="23" t="s">
        <v>7</v>
      </c>
      <c r="V37" s="23" t="s">
        <v>8</v>
      </c>
      <c r="W37" s="21" t="s">
        <v>10</v>
      </c>
      <c r="X37" s="8"/>
      <c r="Y37" s="9"/>
    </row>
    <row r="38" spans="1:25" x14ac:dyDescent="0.25">
      <c r="A38" s="6" t="s">
        <v>9</v>
      </c>
      <c r="C38" s="18"/>
      <c r="D38" s="15"/>
      <c r="E38" s="17"/>
      <c r="F38" s="16"/>
      <c r="G38" s="15"/>
      <c r="H38" s="17"/>
      <c r="I38" s="15">
        <v>0.33333333333333331</v>
      </c>
      <c r="J38" s="15">
        <v>0.5</v>
      </c>
      <c r="K38" s="17" t="s">
        <v>23</v>
      </c>
      <c r="L38" s="15">
        <v>0.33333333333333331</v>
      </c>
      <c r="M38" s="15">
        <v>0.5</v>
      </c>
      <c r="N38" s="17" t="s">
        <v>23</v>
      </c>
      <c r="O38" s="15">
        <v>0.33333333333333331</v>
      </c>
      <c r="P38" s="15">
        <v>0.5</v>
      </c>
      <c r="Q38" s="17" t="s">
        <v>23</v>
      </c>
      <c r="R38" s="15">
        <v>0.33333333333333331</v>
      </c>
      <c r="S38" s="15">
        <v>0.5</v>
      </c>
      <c r="T38" s="17" t="s">
        <v>23</v>
      </c>
      <c r="U38" s="15"/>
      <c r="V38" s="15"/>
      <c r="W38" s="17"/>
      <c r="X38" s="7"/>
    </row>
    <row r="39" spans="1:25" x14ac:dyDescent="0.25">
      <c r="A39" s="6" t="s">
        <v>14</v>
      </c>
      <c r="C39" s="18"/>
      <c r="D39" s="15"/>
      <c r="E39" s="17"/>
      <c r="F39" s="16"/>
      <c r="G39" s="15"/>
      <c r="H39" s="17"/>
      <c r="I39" s="15">
        <v>0.52083333333333337</v>
      </c>
      <c r="J39" s="15">
        <v>0.70833333333333337</v>
      </c>
      <c r="K39" s="17" t="s">
        <v>23</v>
      </c>
      <c r="L39" s="15">
        <v>0.52083333333333337</v>
      </c>
      <c r="M39" s="15">
        <v>0.70833333333333337</v>
      </c>
      <c r="N39" s="17" t="s">
        <v>23</v>
      </c>
      <c r="O39" s="15">
        <v>0.52083333333333337</v>
      </c>
      <c r="P39" s="15">
        <v>0.70833333333333337</v>
      </c>
      <c r="Q39" s="17" t="s">
        <v>23</v>
      </c>
      <c r="R39" s="15">
        <v>0.52083333333333337</v>
      </c>
      <c r="S39" s="15">
        <v>0.70833333333333337</v>
      </c>
      <c r="T39" s="17" t="s">
        <v>23</v>
      </c>
      <c r="U39" s="15"/>
      <c r="V39" s="15"/>
      <c r="W39" s="17"/>
      <c r="X39" s="7"/>
    </row>
    <row r="40" spans="1:25" x14ac:dyDescent="0.25">
      <c r="A40" s="6" t="s">
        <v>15</v>
      </c>
      <c r="C40" s="18"/>
      <c r="D40" s="15"/>
      <c r="E40" s="17"/>
      <c r="F40" s="16"/>
      <c r="G40" s="15"/>
      <c r="H40" s="17"/>
      <c r="I40" s="15"/>
      <c r="J40" s="15"/>
      <c r="K40" s="17"/>
      <c r="L40" s="15"/>
      <c r="M40" s="15"/>
      <c r="N40" s="17"/>
      <c r="O40" s="15"/>
      <c r="P40" s="15"/>
      <c r="Q40" s="17"/>
      <c r="R40" s="15"/>
      <c r="S40" s="15"/>
      <c r="T40" s="17"/>
      <c r="U40" s="15"/>
      <c r="V40" s="15"/>
      <c r="W40" s="17"/>
      <c r="X40" s="7"/>
    </row>
    <row r="41" spans="1:25" x14ac:dyDescent="0.25">
      <c r="A41" s="6" t="s">
        <v>16</v>
      </c>
      <c r="C41" s="24"/>
      <c r="D41" s="25"/>
      <c r="E41" s="26"/>
      <c r="F41" s="27"/>
      <c r="G41" s="25"/>
      <c r="H41" s="26"/>
      <c r="I41" s="25"/>
      <c r="J41" s="25"/>
      <c r="K41" s="26"/>
      <c r="L41" s="25"/>
      <c r="M41" s="25"/>
      <c r="N41" s="26"/>
      <c r="O41" s="25"/>
      <c r="P41" s="25"/>
      <c r="Q41" s="26"/>
      <c r="R41" s="25"/>
      <c r="S41" s="25"/>
      <c r="T41" s="26"/>
      <c r="U41" s="25"/>
      <c r="V41" s="25"/>
      <c r="W41" s="26"/>
      <c r="X41" s="7"/>
    </row>
    <row r="42" spans="1:25" ht="15.75" thickBot="1" x14ac:dyDescent="0.3">
      <c r="A42" s="6" t="s">
        <v>17</v>
      </c>
      <c r="C42" s="28"/>
      <c r="D42" s="29"/>
      <c r="E42" s="30"/>
      <c r="F42" s="31"/>
      <c r="G42" s="29"/>
      <c r="H42" s="30"/>
      <c r="I42" s="29"/>
      <c r="J42" s="29"/>
      <c r="K42" s="30"/>
      <c r="L42" s="29"/>
      <c r="M42" s="29"/>
      <c r="N42" s="30"/>
      <c r="O42" s="29"/>
      <c r="P42" s="29"/>
      <c r="Q42" s="30"/>
      <c r="R42" s="29"/>
      <c r="S42" s="29"/>
      <c r="T42" s="30"/>
      <c r="U42" s="29"/>
      <c r="V42" s="29"/>
      <c r="W42" s="30"/>
      <c r="X42" s="7"/>
    </row>
    <row r="43" spans="1:25" x14ac:dyDescent="0.25">
      <c r="X43" s="7"/>
    </row>
    <row r="44" spans="1:25" x14ac:dyDescent="0.25">
      <c r="A44" s="10" t="s">
        <v>12</v>
      </c>
      <c r="B44" s="10"/>
      <c r="C44" s="62" cm="1">
        <f t="array" ref="C44">SUM((D38:D42-C38:C42)*24)</f>
        <v>0</v>
      </c>
      <c r="D44" s="63"/>
      <c r="E44" s="64"/>
      <c r="F44" s="62" cm="1">
        <f t="array" ref="F44">SUM((G38:G42-F38:F42)*24)</f>
        <v>0</v>
      </c>
      <c r="G44" s="63"/>
      <c r="H44" s="64"/>
      <c r="I44" s="62" cm="1">
        <f t="array" ref="I44">SUM((J38:J42-I38:I42)*24)</f>
        <v>8.5</v>
      </c>
      <c r="J44" s="63"/>
      <c r="K44" s="64"/>
      <c r="L44" s="62" cm="1">
        <f t="array" ref="L44">SUM((M38:M42-L38:L42)*24)</f>
        <v>8.5</v>
      </c>
      <c r="M44" s="63"/>
      <c r="N44" s="64"/>
      <c r="O44" s="62" cm="1">
        <f t="array" ref="O44">SUM((P38:P42-O38:O42)*24)</f>
        <v>8.5</v>
      </c>
      <c r="P44" s="63"/>
      <c r="Q44" s="64"/>
      <c r="R44" s="62" cm="1">
        <f t="array" ref="R44">SUM((S38:S42-R38:R42)*24)</f>
        <v>8.5</v>
      </c>
      <c r="S44" s="63"/>
      <c r="T44" s="64"/>
      <c r="U44" s="62" cm="1">
        <f t="array" ref="U44">SUM((V38:V42-U38:U42)*24)</f>
        <v>0</v>
      </c>
      <c r="V44" s="63"/>
      <c r="W44" s="64"/>
      <c r="X44" s="7"/>
    </row>
    <row r="45" spans="1:25" x14ac:dyDescent="0.25">
      <c r="A45" s="10" t="s">
        <v>19</v>
      </c>
      <c r="B45" s="10"/>
      <c r="C45" s="66" t="b">
        <f>C44&lt;=10</f>
        <v>1</v>
      </c>
      <c r="D45" s="66"/>
      <c r="E45" s="66"/>
      <c r="F45" s="66" t="b">
        <f>F44&lt;=10</f>
        <v>1</v>
      </c>
      <c r="G45" s="66"/>
      <c r="H45" s="66"/>
      <c r="I45" s="66" t="b">
        <f>I44&lt;=10</f>
        <v>1</v>
      </c>
      <c r="J45" s="66"/>
      <c r="K45" s="66"/>
      <c r="L45" s="66" t="b">
        <f>L44&lt;=10</f>
        <v>1</v>
      </c>
      <c r="M45" s="66"/>
      <c r="N45" s="66"/>
      <c r="O45" s="66" t="b">
        <f>O44&lt;=10</f>
        <v>1</v>
      </c>
      <c r="P45" s="66"/>
      <c r="Q45" s="66"/>
      <c r="R45" s="66" t="b">
        <f>R44&lt;=10</f>
        <v>1</v>
      </c>
      <c r="S45" s="66"/>
      <c r="T45" s="66"/>
      <c r="U45" s="66" t="b">
        <f>U44&lt;=10</f>
        <v>1</v>
      </c>
      <c r="V45" s="66"/>
      <c r="W45" s="66"/>
      <c r="X45" s="7"/>
    </row>
    <row r="46" spans="1:25" x14ac:dyDescent="0.25">
      <c r="A46" s="10" t="s">
        <v>21</v>
      </c>
      <c r="B46" s="10"/>
      <c r="C46" s="67" t="s">
        <v>22</v>
      </c>
      <c r="D46" s="67"/>
      <c r="E46" s="67"/>
      <c r="F46" s="67" t="s">
        <v>22</v>
      </c>
      <c r="G46" s="67"/>
      <c r="H46" s="67"/>
      <c r="I46" s="66" t="b">
        <f>IF(J38&lt;&gt;"",MAX(0,(MIN(TIME(17,0,0),J38)-MAX(TIME(7,0,0),I38))*24),0) + IF(J39&lt;&gt;"",MAX(0,(MIN(TIME(17,0,0),J39)-MAX(TIME(7,0,0),I39))*24),0) + IF(J40&lt;&gt;"",MAX(0,(MIN(TIME(17,0,0),J40)-MAX(TIME(7,0,0),I40))*24),0) + IF(J41&lt;&gt;"",MAX(0,(MIN(TIME(17,0,0),J41)-MAX(TIME(7,0,0),I41))*24),0) + IF(J42&lt;&gt;"",MAX(0,(MIN(TIME(17,0,0),J42)-MAX(TIME(7,0,0),I42))*24),0) &gt;= 7</f>
        <v>1</v>
      </c>
      <c r="J46" s="66"/>
      <c r="K46" s="66"/>
      <c r="L46" s="66" t="b">
        <f>IF(M38&lt;&gt;"",MAX(0,(MIN(TIME(17,0,0),M38)-MAX(TIME(7,0,0),L38))*24),0) + IF(M39&lt;&gt;"",MAX(0,(MIN(TIME(17,0,0),M39)-MAX(TIME(7,0,0),L39))*24),0) + IF(M40&lt;&gt;"",MAX(0,(MIN(TIME(17,0,0),M40)-MAX(TIME(7,0,0),L40))*24),0) + IF(M41&lt;&gt;"",MAX(0,(MIN(TIME(17,0,0),M41)-MAX(TIME(7,0,0),L41))*24),0) + IF(M42&lt;&gt;"",MAX(0,(MIN(TIME(17,0,0),M42)-MAX(TIME(7,0,0),L42))*24),0) &gt;= 7</f>
        <v>1</v>
      </c>
      <c r="M46" s="66"/>
      <c r="N46" s="66"/>
      <c r="O46" s="66" t="b">
        <f>IF(P38&lt;&gt;"",MAX(0,(MIN(TIME(17,0,0),P38)-MAX(TIME(7,0,0),O38))*24),0) + IF(P39&lt;&gt;"",MAX(0,(MIN(TIME(17,0,0),P39)-MAX(TIME(7,0,0),O39))*24),0) + IF(P40&lt;&gt;"",MAX(0,(MIN(TIME(17,0,0),P40)-MAX(TIME(7,0,0),O40))*24),0) + IF(P41&lt;&gt;"",MAX(0,(MIN(TIME(17,0,0),P41)-MAX(TIME(7,0,0),O41))*24),0) + IF(P42&lt;&gt;"",MAX(0,(MIN(TIME(17,0,0),P42)-MAX(TIME(7,0,0),O42))*24),0) &gt;= 7</f>
        <v>1</v>
      </c>
      <c r="P46" s="66"/>
      <c r="Q46" s="66"/>
      <c r="R46" s="66" t="b">
        <f>IF(S38&lt;&gt;"",MAX(0,(MIN(TIME(17,0,0),S38)-MAX(TIME(7,0,0),R38))*24),0) + IF(S39&lt;&gt;"",MAX(0,(MIN(TIME(17,0,0),S39)-MAX(TIME(7,0,0),R39))*24),0) + IF(S40&lt;&gt;"",MAX(0,(MIN(TIME(17,0,0),S40)-MAX(TIME(7,0,0),R40))*24),0) + IF(S41&lt;&gt;"",MAX(0,(MIN(TIME(17,0,0),S41)-MAX(TIME(7,0,0),R41))*24),0) + IF(S42&lt;&gt;"",MAX(0,(MIN(TIME(17,0,0),S42)-MAX(TIME(7,0,0),R42))*24),0) &gt;= 7</f>
        <v>1</v>
      </c>
      <c r="S46" s="66"/>
      <c r="T46" s="66"/>
      <c r="U46" s="67" t="s">
        <v>22</v>
      </c>
      <c r="V46" s="67"/>
      <c r="W46" s="67"/>
      <c r="X46" s="7"/>
    </row>
    <row r="47" spans="1:25" x14ac:dyDescent="0.2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"/>
    </row>
    <row r="48" spans="1:25" x14ac:dyDescent="0.25">
      <c r="A48" s="10" t="s">
        <v>24</v>
      </c>
      <c r="C48" s="68">
        <f>SUM(C44:W44)</f>
        <v>34</v>
      </c>
      <c r="D48" s="68"/>
      <c r="E48" s="6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"/>
    </row>
    <row r="49" spans="1:24" x14ac:dyDescent="0.25">
      <c r="X49" s="7"/>
    </row>
    <row r="50" spans="1:24" x14ac:dyDescent="0.25">
      <c r="A50" s="10" t="s">
        <v>26</v>
      </c>
      <c r="C50" s="68" t="b">
        <f>SUM(C33+C48)=75</f>
        <v>1</v>
      </c>
      <c r="D50" s="68"/>
      <c r="E50" s="68"/>
      <c r="X50" s="7"/>
    </row>
    <row r="51" spans="1:24" x14ac:dyDescent="0.25">
      <c r="X51" s="7"/>
    </row>
    <row r="52" spans="1:24" x14ac:dyDescent="0.25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</row>
  </sheetData>
  <sheetProtection selectLockedCells="1"/>
  <mergeCells count="79">
    <mergeCell ref="U46:W46"/>
    <mergeCell ref="C48:E48"/>
    <mergeCell ref="C50:E50"/>
    <mergeCell ref="C46:E46"/>
    <mergeCell ref="F46:H46"/>
    <mergeCell ref="I46:K46"/>
    <mergeCell ref="L46:N46"/>
    <mergeCell ref="O46:Q46"/>
    <mergeCell ref="R46:T46"/>
    <mergeCell ref="U44:W44"/>
    <mergeCell ref="C45:E45"/>
    <mergeCell ref="F45:H45"/>
    <mergeCell ref="I45:K45"/>
    <mergeCell ref="L45:N45"/>
    <mergeCell ref="O45:Q45"/>
    <mergeCell ref="R45:T45"/>
    <mergeCell ref="U45:W45"/>
    <mergeCell ref="C44:E44"/>
    <mergeCell ref="F44:H44"/>
    <mergeCell ref="I44:K44"/>
    <mergeCell ref="L44:N44"/>
    <mergeCell ref="O44:Q44"/>
    <mergeCell ref="R44:T44"/>
    <mergeCell ref="C33:E33"/>
    <mergeCell ref="C35:W35"/>
    <mergeCell ref="C36:E36"/>
    <mergeCell ref="F36:H36"/>
    <mergeCell ref="I36:K36"/>
    <mergeCell ref="L36:N36"/>
    <mergeCell ref="O36:Q36"/>
    <mergeCell ref="R36:T36"/>
    <mergeCell ref="U36:W36"/>
    <mergeCell ref="U30:W30"/>
    <mergeCell ref="C31:E31"/>
    <mergeCell ref="F31:H31"/>
    <mergeCell ref="I31:K31"/>
    <mergeCell ref="L31:N31"/>
    <mergeCell ref="O31:Q31"/>
    <mergeCell ref="R31:T31"/>
    <mergeCell ref="U31:W31"/>
    <mergeCell ref="C30:E30"/>
    <mergeCell ref="F30:H30"/>
    <mergeCell ref="I30:K30"/>
    <mergeCell ref="L30:N30"/>
    <mergeCell ref="O30:Q30"/>
    <mergeCell ref="R30:T30"/>
    <mergeCell ref="R21:T21"/>
    <mergeCell ref="U21:W21"/>
    <mergeCell ref="C29:E29"/>
    <mergeCell ref="F29:H29"/>
    <mergeCell ref="I29:K29"/>
    <mergeCell ref="L29:N29"/>
    <mergeCell ref="O29:Q29"/>
    <mergeCell ref="R29:T29"/>
    <mergeCell ref="U29:W29"/>
    <mergeCell ref="C21:E21"/>
    <mergeCell ref="F21:H21"/>
    <mergeCell ref="I21:K21"/>
    <mergeCell ref="L21:N21"/>
    <mergeCell ref="O21:Q21"/>
    <mergeCell ref="C20:W20"/>
    <mergeCell ref="C2:X2"/>
    <mergeCell ref="C3:X3"/>
    <mergeCell ref="C4:X4"/>
    <mergeCell ref="C5:X5"/>
    <mergeCell ref="C6:X6"/>
    <mergeCell ref="C7:X7"/>
    <mergeCell ref="C9:X9"/>
    <mergeCell ref="C10:X10"/>
    <mergeCell ref="C11:X11"/>
    <mergeCell ref="C12:X12"/>
    <mergeCell ref="C13:X13"/>
    <mergeCell ref="C14:X14"/>
    <mergeCell ref="A16:X16"/>
    <mergeCell ref="C1:X1"/>
    <mergeCell ref="A17:A18"/>
    <mergeCell ref="B17:B18"/>
    <mergeCell ref="C17:X18"/>
    <mergeCell ref="C8:X8"/>
  </mergeCells>
  <conditionalFormatting sqref="C50:E50">
    <cfRule type="expression" dxfId="41" priority="57">
      <formula>C50=FALSE</formula>
    </cfRule>
    <cfRule type="expression" dxfId="40" priority="58">
      <formula>C50=TRUE</formula>
    </cfRule>
  </conditionalFormatting>
  <conditionalFormatting sqref="C30:W30">
    <cfRule type="expression" dxfId="39" priority="61">
      <formula>C30=FALSE</formula>
    </cfRule>
    <cfRule type="expression" dxfId="38" priority="62">
      <formula>C30=TRUE</formula>
    </cfRule>
  </conditionalFormatting>
  <conditionalFormatting sqref="C45:W45">
    <cfRule type="expression" dxfId="37" priority="59">
      <formula>C45=FALSE</formula>
    </cfRule>
    <cfRule type="expression" dxfId="36" priority="60">
      <formula>C45=TRUE</formula>
    </cfRule>
  </conditionalFormatting>
  <conditionalFormatting sqref="E10:E14">
    <cfRule type="containsText" dxfId="35" priority="11" operator="containsText" text="Remote">
      <formula>NOT(ISERROR(SEARCH("Remote",E10)))</formula>
    </cfRule>
    <cfRule type="containsText" dxfId="34" priority="12" operator="containsText" text="Office">
      <formula>NOT(ISERROR(SEARCH("Office",E10)))</formula>
    </cfRule>
  </conditionalFormatting>
  <conditionalFormatting sqref="E23:E27">
    <cfRule type="containsText" dxfId="33" priority="55" operator="containsText" text="Remote">
      <formula>NOT(ISERROR(SEARCH("Remote",E23)))</formula>
    </cfRule>
    <cfRule type="containsText" dxfId="32" priority="56" operator="containsText" text="Office">
      <formula>NOT(ISERROR(SEARCH("Office",E23)))</formula>
    </cfRule>
  </conditionalFormatting>
  <conditionalFormatting sqref="E38:E42">
    <cfRule type="containsText" dxfId="31" priority="42" operator="containsText" text="Office">
      <formula>NOT(ISERROR(SEARCH("Office",E38)))</formula>
    </cfRule>
    <cfRule type="containsText" dxfId="30" priority="41" operator="containsText" text="Remote">
      <formula>NOT(ISERROR(SEARCH("Remote",E38)))</formula>
    </cfRule>
  </conditionalFormatting>
  <conditionalFormatting sqref="H10:H14">
    <cfRule type="containsText" dxfId="29" priority="9" operator="containsText" text="Remote">
      <formula>NOT(ISERROR(SEARCH("Remote",H10)))</formula>
    </cfRule>
    <cfRule type="containsText" dxfId="28" priority="10" operator="containsText" text="Office">
      <formula>NOT(ISERROR(SEARCH("Office",H10)))</formula>
    </cfRule>
  </conditionalFormatting>
  <conditionalFormatting sqref="H23:H27">
    <cfRule type="containsText" dxfId="27" priority="54" operator="containsText" text="Office">
      <formula>NOT(ISERROR(SEARCH("Office",H23)))</formula>
    </cfRule>
    <cfRule type="containsText" dxfId="26" priority="53" operator="containsText" text="Remote">
      <formula>NOT(ISERROR(SEARCH("Remote",H23)))</formula>
    </cfRule>
  </conditionalFormatting>
  <conditionalFormatting sqref="H38:H42">
    <cfRule type="containsText" dxfId="25" priority="39" operator="containsText" text="Remote">
      <formula>NOT(ISERROR(SEARCH("Remote",H38)))</formula>
    </cfRule>
    <cfRule type="containsText" dxfId="24" priority="40" operator="containsText" text="Office">
      <formula>NOT(ISERROR(SEARCH("Office",H38)))</formula>
    </cfRule>
  </conditionalFormatting>
  <conditionalFormatting sqref="I31:T31">
    <cfRule type="expression" dxfId="23" priority="65">
      <formula>I31=FALSE</formula>
    </cfRule>
    <cfRule type="expression" dxfId="22" priority="66">
      <formula>I31=TRUE</formula>
    </cfRule>
  </conditionalFormatting>
  <conditionalFormatting sqref="I46:T46">
    <cfRule type="expression" dxfId="21" priority="63">
      <formula>I46=FALSE</formula>
    </cfRule>
    <cfRule type="expression" dxfId="20" priority="64">
      <formula>I46=TRUE</formula>
    </cfRule>
  </conditionalFormatting>
  <conditionalFormatting sqref="K10:K14">
    <cfRule type="containsText" dxfId="19" priority="7" operator="containsText" text="Remote">
      <formula>NOT(ISERROR(SEARCH("Remote",K10)))</formula>
    </cfRule>
    <cfRule type="containsText" dxfId="18" priority="8" operator="containsText" text="Office">
      <formula>NOT(ISERROR(SEARCH("Office",K10)))</formula>
    </cfRule>
  </conditionalFormatting>
  <conditionalFormatting sqref="K23:K27">
    <cfRule type="containsText" dxfId="17" priority="52" operator="containsText" text="Office">
      <formula>NOT(ISERROR(SEARCH("Office",K23)))</formula>
    </cfRule>
    <cfRule type="containsText" dxfId="16" priority="51" operator="containsText" text="Remote">
      <formula>NOT(ISERROR(SEARCH("Remote",K23)))</formula>
    </cfRule>
  </conditionalFormatting>
  <conditionalFormatting sqref="K38:K42 N38:N42 Q38:Q42 T38:T42">
    <cfRule type="containsText" dxfId="15" priority="15" operator="containsText" text="Remote">
      <formula>NOT(ISERROR(SEARCH("Remote",K38)))</formula>
    </cfRule>
    <cfRule type="containsText" dxfId="14" priority="16" operator="containsText" text="Office">
      <formula>NOT(ISERROR(SEARCH("Office",K38)))</formula>
    </cfRule>
  </conditionalFormatting>
  <conditionalFormatting sqref="N10:N14">
    <cfRule type="containsText" dxfId="13" priority="5" operator="containsText" text="Remote">
      <formula>NOT(ISERROR(SEARCH("Remote",N10)))</formula>
    </cfRule>
    <cfRule type="containsText" dxfId="12" priority="6" operator="containsText" text="Office">
      <formula>NOT(ISERROR(SEARCH("Office",N10)))</formula>
    </cfRule>
  </conditionalFormatting>
  <conditionalFormatting sqref="N23:N27">
    <cfRule type="containsText" dxfId="11" priority="20" operator="containsText" text="Office">
      <formula>NOT(ISERROR(SEARCH("Office",N23)))</formula>
    </cfRule>
    <cfRule type="containsText" dxfId="10" priority="19" operator="containsText" text="Remote">
      <formula>NOT(ISERROR(SEARCH("Remote",N23)))</formula>
    </cfRule>
  </conditionalFormatting>
  <conditionalFormatting sqref="Q10:Q14 T10:T14">
    <cfRule type="containsText" dxfId="9" priority="4" operator="containsText" text="Office">
      <formula>NOT(ISERROR(SEARCH("Office",Q10)))</formula>
    </cfRule>
    <cfRule type="containsText" dxfId="8" priority="3" operator="containsText" text="Remote">
      <formula>NOT(ISERROR(SEARCH("Remote",Q10)))</formula>
    </cfRule>
  </conditionalFormatting>
  <conditionalFormatting sqref="Q23:Q27 T23:T27">
    <cfRule type="containsText" dxfId="7" priority="17" operator="containsText" text="Remote">
      <formula>NOT(ISERROR(SEARCH("Remote",Q23)))</formula>
    </cfRule>
    <cfRule type="containsText" dxfId="6" priority="18" operator="containsText" text="Office">
      <formula>NOT(ISERROR(SEARCH("Office",Q23)))</formula>
    </cfRule>
  </conditionalFormatting>
  <conditionalFormatting sqref="W10:W14">
    <cfRule type="containsText" dxfId="5" priority="2" operator="containsText" text="Office">
      <formula>NOT(ISERROR(SEARCH("Office",W10)))</formula>
    </cfRule>
    <cfRule type="containsText" dxfId="4" priority="1" operator="containsText" text="Remote">
      <formula>NOT(ISERROR(SEARCH("Remote",W10)))</formula>
    </cfRule>
  </conditionalFormatting>
  <conditionalFormatting sqref="W23:W27">
    <cfRule type="containsText" dxfId="3" priority="14" operator="containsText" text="Office">
      <formula>NOT(ISERROR(SEARCH("Office",W23)))</formula>
    </cfRule>
    <cfRule type="containsText" dxfId="2" priority="13" operator="containsText" text="Remote">
      <formula>NOT(ISERROR(SEARCH("Remote",W23)))</formula>
    </cfRule>
  </conditionalFormatting>
  <conditionalFormatting sqref="W38:W42">
    <cfRule type="containsText" dxfId="1" priority="21" operator="containsText" text="Remote">
      <formula>NOT(ISERROR(SEARCH("Remote",W38)))</formula>
    </cfRule>
    <cfRule type="containsText" dxfId="0" priority="22" operator="containsText" text="Office">
      <formula>NOT(ISERROR(SEARCH("Office",W38)))</formula>
    </cfRule>
  </conditionalFormatting>
  <dataValidations count="2">
    <dataValidation type="list" allowBlank="1" showInputMessage="1" showErrorMessage="1" sqref="Q23:Q27 Q38:Q42 E23:E27 W38:Y42 H23:H27 K23:K27 T38:T42 N38:N42 K38:K42 E38:E42 T23:T27 H38:H42 N23:N27 W23:Y27" xr:uid="{B7A0680F-C109-4D82-ACED-1E53F4710158}">
      <formula1>"Remote, Office"</formula1>
    </dataValidation>
    <dataValidation type="list" allowBlank="1" showInputMessage="1" showErrorMessage="1" sqref="E10:E14 H10:H14 K10:K14 N10:N14 Q10:Q14 T10:T14 W10:X14" xr:uid="{4CF0DE97-531D-48F6-95D6-7779C8F3890F}">
      <formula1>"Remote,Office"</formula1>
      <formula2>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promptTitle="Select a Time" xr:uid="{9947313B-7DBE-480E-AEB4-5E44B31B7E88}">
          <x14:formula1>
            <xm:f>FormTools!$A$1:$A$48</xm:f>
          </x14:formula1>
          <xm:sqref>I38:J42 C23:D27 F23:G27 I23:J27 R23:S27 L23:M27 R38:S42 L38:M42 C38:D42 F38:G42 O38:P42 O23:P27 U38:V42 U23:V27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A327-F2C2-4458-B9FB-FF4AF22259AD}">
  <sheetPr codeName="Sheet1"/>
  <dimension ref="A1:B48"/>
  <sheetViews>
    <sheetView workbookViewId="0">
      <selection activeCell="B1" sqref="B1"/>
    </sheetView>
  </sheetViews>
  <sheetFormatPr defaultColWidth="9.140625" defaultRowHeight="15" x14ac:dyDescent="0.25"/>
  <cols>
    <col min="1" max="1" width="11.28515625" style="1" bestFit="1" customWidth="1"/>
    <col min="2" max="2" width="137.85546875" style="33" customWidth="1"/>
    <col min="3" max="16384" width="9.140625" style="33"/>
  </cols>
  <sheetData>
    <row r="1" spans="1:2" ht="120" x14ac:dyDescent="0.25">
      <c r="A1" s="1">
        <v>0</v>
      </c>
      <c r="B1" s="32" t="s">
        <v>27</v>
      </c>
    </row>
    <row r="2" spans="1:2" x14ac:dyDescent="0.25">
      <c r="A2" s="1">
        <v>2.0833333333333332E-2</v>
      </c>
    </row>
    <row r="3" spans="1:2" x14ac:dyDescent="0.25">
      <c r="A3" s="1">
        <v>4.1666666666666664E-2</v>
      </c>
    </row>
    <row r="4" spans="1:2" x14ac:dyDescent="0.25">
      <c r="A4" s="1">
        <v>6.25E-2</v>
      </c>
    </row>
    <row r="5" spans="1:2" x14ac:dyDescent="0.25">
      <c r="A5" s="1">
        <v>8.3333333333333329E-2</v>
      </c>
    </row>
    <row r="6" spans="1:2" x14ac:dyDescent="0.25">
      <c r="A6" s="1">
        <v>0.10416666666666667</v>
      </c>
    </row>
    <row r="7" spans="1:2" x14ac:dyDescent="0.25">
      <c r="A7" s="1">
        <v>0.125</v>
      </c>
    </row>
    <row r="8" spans="1:2" x14ac:dyDescent="0.25">
      <c r="A8" s="1">
        <v>0.14583333333333334</v>
      </c>
    </row>
    <row r="9" spans="1:2" x14ac:dyDescent="0.25">
      <c r="A9" s="1">
        <v>0.16666666666666666</v>
      </c>
    </row>
    <row r="10" spans="1:2" x14ac:dyDescent="0.25">
      <c r="A10" s="1">
        <v>0.1875</v>
      </c>
    </row>
    <row r="11" spans="1:2" x14ac:dyDescent="0.25">
      <c r="A11" s="1">
        <v>0.20833333333333334</v>
      </c>
    </row>
    <row r="12" spans="1:2" x14ac:dyDescent="0.25">
      <c r="A12" s="1">
        <v>0.22916666666666666</v>
      </c>
    </row>
    <row r="13" spans="1:2" x14ac:dyDescent="0.25">
      <c r="A13" s="1">
        <v>0.25</v>
      </c>
    </row>
    <row r="14" spans="1:2" x14ac:dyDescent="0.25">
      <c r="A14" s="1">
        <v>0.27083333333333331</v>
      </c>
    </row>
    <row r="15" spans="1:2" x14ac:dyDescent="0.25">
      <c r="A15" s="1">
        <v>0.29166666666666669</v>
      </c>
    </row>
    <row r="16" spans="1:2" x14ac:dyDescent="0.25">
      <c r="A16" s="1">
        <v>0.3125</v>
      </c>
    </row>
    <row r="17" spans="1:1" x14ac:dyDescent="0.25">
      <c r="A17" s="1">
        <v>0.33333333333333331</v>
      </c>
    </row>
    <row r="18" spans="1:1" x14ac:dyDescent="0.25">
      <c r="A18" s="1">
        <v>0.35416666666666669</v>
      </c>
    </row>
    <row r="19" spans="1:1" x14ac:dyDescent="0.25">
      <c r="A19" s="1">
        <v>0.375</v>
      </c>
    </row>
    <row r="20" spans="1:1" x14ac:dyDescent="0.25">
      <c r="A20" s="1">
        <v>0.39583333333333331</v>
      </c>
    </row>
    <row r="21" spans="1:1" x14ac:dyDescent="0.25">
      <c r="A21" s="1">
        <v>0.41666666666666669</v>
      </c>
    </row>
    <row r="22" spans="1:1" x14ac:dyDescent="0.25">
      <c r="A22" s="1">
        <v>0.4375</v>
      </c>
    </row>
    <row r="23" spans="1:1" x14ac:dyDescent="0.25">
      <c r="A23" s="1">
        <v>0.45833333333333331</v>
      </c>
    </row>
    <row r="24" spans="1:1" x14ac:dyDescent="0.25">
      <c r="A24" s="1">
        <v>0.47916666666666669</v>
      </c>
    </row>
    <row r="25" spans="1:1" x14ac:dyDescent="0.25">
      <c r="A25" s="1">
        <v>0.5</v>
      </c>
    </row>
    <row r="26" spans="1:1" x14ac:dyDescent="0.25">
      <c r="A26" s="1">
        <v>0.52083333333333337</v>
      </c>
    </row>
    <row r="27" spans="1:1" x14ac:dyDescent="0.25">
      <c r="A27" s="1">
        <v>0.54166666666666663</v>
      </c>
    </row>
    <row r="28" spans="1:1" x14ac:dyDescent="0.25">
      <c r="A28" s="1">
        <v>0.5625</v>
      </c>
    </row>
    <row r="29" spans="1:1" x14ac:dyDescent="0.25">
      <c r="A29" s="1">
        <v>0.58333333333333337</v>
      </c>
    </row>
    <row r="30" spans="1:1" x14ac:dyDescent="0.25">
      <c r="A30" s="1">
        <v>0.60416666666666663</v>
      </c>
    </row>
    <row r="31" spans="1:1" x14ac:dyDescent="0.25">
      <c r="A31" s="1">
        <v>0.625</v>
      </c>
    </row>
    <row r="32" spans="1:1" x14ac:dyDescent="0.25">
      <c r="A32" s="1">
        <v>0.64583333333333337</v>
      </c>
    </row>
    <row r="33" spans="1:1" x14ac:dyDescent="0.25">
      <c r="A33" s="1">
        <v>0.66666666666666663</v>
      </c>
    </row>
    <row r="34" spans="1:1" x14ac:dyDescent="0.25">
      <c r="A34" s="1">
        <v>0.6875</v>
      </c>
    </row>
    <row r="35" spans="1:1" x14ac:dyDescent="0.25">
      <c r="A35" s="1">
        <v>0.70833333333333337</v>
      </c>
    </row>
    <row r="36" spans="1:1" x14ac:dyDescent="0.25">
      <c r="A36" s="1">
        <v>0.72916666666666663</v>
      </c>
    </row>
    <row r="37" spans="1:1" x14ac:dyDescent="0.25">
      <c r="A37" s="1">
        <v>0.75</v>
      </c>
    </row>
    <row r="38" spans="1:1" x14ac:dyDescent="0.25">
      <c r="A38" s="1">
        <v>0.77083333333333337</v>
      </c>
    </row>
    <row r="39" spans="1:1" x14ac:dyDescent="0.25">
      <c r="A39" s="1">
        <v>0.79166666666666663</v>
      </c>
    </row>
    <row r="40" spans="1:1" x14ac:dyDescent="0.25">
      <c r="A40" s="1">
        <v>0.8125</v>
      </c>
    </row>
    <row r="41" spans="1:1" x14ac:dyDescent="0.25">
      <c r="A41" s="1">
        <v>0.83333333333333337</v>
      </c>
    </row>
    <row r="42" spans="1:1" x14ac:dyDescent="0.25">
      <c r="A42" s="1">
        <v>0.85416666666666663</v>
      </c>
    </row>
    <row r="43" spans="1:1" x14ac:dyDescent="0.25">
      <c r="A43" s="1">
        <v>0.875</v>
      </c>
    </row>
    <row r="44" spans="1:1" x14ac:dyDescent="0.25">
      <c r="A44" s="1">
        <v>0.89583333333333337</v>
      </c>
    </row>
    <row r="45" spans="1:1" x14ac:dyDescent="0.25">
      <c r="A45" s="1">
        <v>0.91666666666666663</v>
      </c>
    </row>
    <row r="46" spans="1:1" x14ac:dyDescent="0.25">
      <c r="A46" s="1">
        <v>0.9375</v>
      </c>
    </row>
    <row r="47" spans="1:1" x14ac:dyDescent="0.25">
      <c r="A47" s="1">
        <v>0.95833333333333337</v>
      </c>
    </row>
    <row r="48" spans="1:1" x14ac:dyDescent="0.25">
      <c r="A48" s="1">
        <v>0.97916666666666663</v>
      </c>
    </row>
  </sheetData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Admin</vt:lpstr>
      <vt:lpstr>Arbuckle, A</vt:lpstr>
      <vt:lpstr>Baker, M</vt:lpstr>
      <vt:lpstr>Bohnert, A</vt:lpstr>
      <vt:lpstr>Carolla, A</vt:lpstr>
      <vt:lpstr>Davis, A</vt:lpstr>
      <vt:lpstr>Demmler, R</vt:lpstr>
      <vt:lpstr>Dunlap, T</vt:lpstr>
      <vt:lpstr>Enright, M</vt:lpstr>
      <vt:lpstr>Geier, C</vt:lpstr>
      <vt:lpstr>Gnacinski, J</vt:lpstr>
      <vt:lpstr>Grady, D</vt:lpstr>
      <vt:lpstr>Gregg, J</vt:lpstr>
      <vt:lpstr>Grzegorczyk, K</vt:lpstr>
      <vt:lpstr>Hammer, C</vt:lpstr>
      <vt:lpstr>Helsel, B</vt:lpstr>
      <vt:lpstr>Hixon, D</vt:lpstr>
      <vt:lpstr>Huffman, S</vt:lpstr>
      <vt:lpstr>Killeen, T</vt:lpstr>
      <vt:lpstr>Madore, C</vt:lpstr>
      <vt:lpstr>Markel, K</vt:lpstr>
      <vt:lpstr>Parsson, K</vt:lpstr>
      <vt:lpstr>Rasel, D</vt:lpstr>
      <vt:lpstr>Scheuring, D</vt:lpstr>
      <vt:lpstr>Schrader, M</vt:lpstr>
      <vt:lpstr>Schultz, J</vt:lpstr>
      <vt:lpstr>Show, J</vt:lpstr>
      <vt:lpstr>Warren, P</vt:lpstr>
      <vt:lpstr>Zappas, K</vt:lpstr>
      <vt:lpstr>Zappas, P</vt:lpstr>
      <vt:lpstr>FormTools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Demmler</dc:creator>
  <cp:lastModifiedBy>Bob Demmler</cp:lastModifiedBy>
  <dcterms:created xsi:type="dcterms:W3CDTF">2025-08-27T17:46:18Z</dcterms:created>
  <dcterms:modified xsi:type="dcterms:W3CDTF">2026-07-28T20:43:09Z</dcterms:modified>
</cp:coreProperties>
</file>